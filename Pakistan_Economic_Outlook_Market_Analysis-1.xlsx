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BIG PROJECT\"/>
    </mc:Choice>
  </mc:AlternateContent>
  <bookViews>
    <workbookView xWindow="0" yWindow="0" windowWidth="20490" windowHeight="7650" firstSheet="2" activeTab="2"/>
  </bookViews>
  <sheets>
    <sheet name="00_Read Me" sheetId="1" r:id="rId1"/>
    <sheet name="01_Sources" sheetId="2" r:id="rId2"/>
    <sheet name="02_Raw Data" sheetId="3" r:id="rId3"/>
    <sheet name="03_Calculations" sheetId="4" r:id="rId4"/>
    <sheet name="04_Correlation" sheetId="5" r:id="rId5"/>
    <sheet name="05_Economic Analysis" sheetId="6" r:id="rId6"/>
    <sheet name="06_Market Analysis" sheetId="7" r:id="rId7"/>
  </sheets>
  <calcPr calcId="162913"/>
</workbook>
</file>

<file path=xl/calcChain.xml><?xml version="1.0" encoding="utf-8"?>
<calcChain xmlns="http://schemas.openxmlformats.org/spreadsheetml/2006/main">
  <c r="H19" i="7" l="1"/>
  <c r="F19" i="7"/>
  <c r="E19" i="7"/>
  <c r="D19" i="7"/>
  <c r="C19" i="7"/>
  <c r="B19" i="7"/>
  <c r="H18" i="7"/>
  <c r="F18" i="7"/>
  <c r="E18" i="7"/>
  <c r="D18" i="7"/>
  <c r="C18" i="7"/>
  <c r="B18" i="7"/>
  <c r="H17" i="7"/>
  <c r="F17" i="7"/>
  <c r="E17" i="7"/>
  <c r="D17" i="7"/>
  <c r="C17" i="7"/>
  <c r="B17" i="7"/>
  <c r="H16" i="7"/>
  <c r="F16" i="7"/>
  <c r="E16" i="7"/>
  <c r="D16" i="7"/>
  <c r="C16" i="7"/>
  <c r="B16" i="7"/>
  <c r="H15" i="7"/>
  <c r="F15" i="7"/>
  <c r="E15" i="7"/>
  <c r="D15" i="7"/>
  <c r="C15" i="7"/>
  <c r="B15" i="7"/>
  <c r="H14" i="7"/>
  <c r="F14" i="7"/>
  <c r="E14" i="7"/>
  <c r="D14" i="7"/>
  <c r="C14" i="7"/>
  <c r="B14" i="7"/>
  <c r="H13" i="7"/>
  <c r="F13" i="7"/>
  <c r="E13" i="7"/>
  <c r="D13" i="7"/>
  <c r="C13" i="7"/>
  <c r="B13" i="7"/>
  <c r="H12" i="7"/>
  <c r="F12" i="7"/>
  <c r="E12" i="7"/>
  <c r="D12" i="7"/>
  <c r="C12" i="7"/>
  <c r="B12" i="7"/>
  <c r="H11" i="7"/>
  <c r="F11" i="7"/>
  <c r="E11" i="7"/>
  <c r="D11" i="7"/>
  <c r="C11" i="7"/>
  <c r="B11" i="7"/>
  <c r="H10" i="7"/>
  <c r="F10" i="7"/>
  <c r="E10" i="7"/>
  <c r="D10" i="7"/>
  <c r="C10" i="7"/>
  <c r="B10" i="7"/>
  <c r="H9" i="7"/>
  <c r="F9" i="7"/>
  <c r="E9" i="7"/>
  <c r="D9" i="7"/>
  <c r="C9" i="7"/>
  <c r="B9" i="7"/>
  <c r="H8" i="7"/>
  <c r="F8" i="7"/>
  <c r="E8" i="7"/>
  <c r="D8" i="7"/>
  <c r="C8" i="7"/>
  <c r="B8" i="7"/>
  <c r="H7" i="7"/>
  <c r="F7" i="7"/>
  <c r="E7" i="7"/>
  <c r="D7" i="7"/>
  <c r="C7" i="7"/>
  <c r="B7" i="7"/>
  <c r="H6" i="7"/>
  <c r="F6" i="7"/>
  <c r="E6" i="7"/>
  <c r="D6" i="7"/>
  <c r="C6" i="7"/>
  <c r="B6" i="7"/>
  <c r="H5" i="7"/>
  <c r="F5" i="7"/>
  <c r="E5" i="7"/>
  <c r="D5" i="7"/>
  <c r="C5" i="7"/>
  <c r="B5" i="7"/>
  <c r="H4" i="7"/>
  <c r="G4" i="7"/>
  <c r="F4" i="7"/>
  <c r="E4" i="7"/>
  <c r="D4" i="7"/>
  <c r="C4" i="7"/>
  <c r="B4" i="7"/>
  <c r="F10" i="6"/>
  <c r="G10" i="6" s="1"/>
  <c r="E10" i="6"/>
  <c r="D10" i="6"/>
  <c r="C10" i="6"/>
  <c r="B10" i="6"/>
  <c r="F9" i="6"/>
  <c r="G9" i="6" s="1"/>
  <c r="E9" i="6"/>
  <c r="D9" i="6"/>
  <c r="C9" i="6"/>
  <c r="B9" i="6"/>
  <c r="F8" i="6"/>
  <c r="G8" i="6" s="1"/>
  <c r="E8" i="6"/>
  <c r="D8" i="6"/>
  <c r="C8" i="6"/>
  <c r="B8" i="6"/>
  <c r="F7" i="6"/>
  <c r="G7" i="6" s="1"/>
  <c r="E7" i="6"/>
  <c r="D7" i="6"/>
  <c r="C7" i="6"/>
  <c r="B7" i="6"/>
  <c r="F6" i="6"/>
  <c r="G6" i="6" s="1"/>
  <c r="E6" i="6"/>
  <c r="D6" i="6"/>
  <c r="C6" i="6"/>
  <c r="B6" i="6"/>
  <c r="F5" i="6"/>
  <c r="G5" i="6" s="1"/>
  <c r="E5" i="6"/>
  <c r="D5" i="6"/>
  <c r="C5" i="6"/>
  <c r="B5" i="6"/>
  <c r="F4" i="6"/>
  <c r="G4" i="6" s="1"/>
  <c r="E4" i="6"/>
  <c r="D4" i="6"/>
  <c r="C4" i="6"/>
  <c r="B4" i="6"/>
  <c r="F11" i="5"/>
  <c r="B11" i="5"/>
  <c r="I8" i="5"/>
  <c r="I4" i="5"/>
  <c r="M17" i="4"/>
  <c r="K17" i="4"/>
  <c r="J17" i="4"/>
  <c r="I17" i="4"/>
  <c r="H17" i="4"/>
  <c r="G17" i="4"/>
  <c r="E17" i="4"/>
  <c r="F17" i="4" s="1"/>
  <c r="G19" i="7" s="1"/>
  <c r="D17" i="4"/>
  <c r="L17" i="4" s="1"/>
  <c r="C17" i="4"/>
  <c r="B17" i="4"/>
  <c r="M16" i="4"/>
  <c r="K16" i="4"/>
  <c r="J16" i="4"/>
  <c r="I16" i="4"/>
  <c r="H16" i="4"/>
  <c r="G16" i="4"/>
  <c r="E16" i="4"/>
  <c r="F16" i="4" s="1"/>
  <c r="G18" i="7" s="1"/>
  <c r="D16" i="4"/>
  <c r="L16" i="4" s="1"/>
  <c r="C16" i="4"/>
  <c r="B16" i="4"/>
  <c r="M15" i="4"/>
  <c r="K15" i="4"/>
  <c r="J15" i="4"/>
  <c r="I15" i="4"/>
  <c r="H15" i="4"/>
  <c r="G15" i="4"/>
  <c r="E15" i="4"/>
  <c r="F15" i="4" s="1"/>
  <c r="G17" i="7" s="1"/>
  <c r="D15" i="4"/>
  <c r="L15" i="4" s="1"/>
  <c r="C15" i="4"/>
  <c r="B15" i="4"/>
  <c r="M14" i="4"/>
  <c r="K14" i="4"/>
  <c r="J14" i="4"/>
  <c r="I14" i="4"/>
  <c r="H14" i="4"/>
  <c r="G14" i="4"/>
  <c r="E14" i="4"/>
  <c r="F14" i="4" s="1"/>
  <c r="G16" i="7" s="1"/>
  <c r="D14" i="4"/>
  <c r="L14" i="4" s="1"/>
  <c r="C14" i="4"/>
  <c r="B14" i="4"/>
  <c r="M13" i="4"/>
  <c r="K13" i="4"/>
  <c r="J13" i="4"/>
  <c r="I13" i="4"/>
  <c r="H13" i="4"/>
  <c r="G13" i="4"/>
  <c r="E13" i="4"/>
  <c r="F13" i="4" s="1"/>
  <c r="G15" i="7" s="1"/>
  <c r="D13" i="4"/>
  <c r="L13" i="4" s="1"/>
  <c r="C13" i="4"/>
  <c r="B13" i="4"/>
  <c r="M12" i="4"/>
  <c r="K12" i="4"/>
  <c r="J12" i="4"/>
  <c r="I12" i="4"/>
  <c r="H12" i="4"/>
  <c r="G12" i="4"/>
  <c r="E12" i="4"/>
  <c r="F12" i="4" s="1"/>
  <c r="G14" i="7" s="1"/>
  <c r="D12" i="4"/>
  <c r="L12" i="4" s="1"/>
  <c r="C12" i="4"/>
  <c r="B12" i="4"/>
  <c r="M11" i="4"/>
  <c r="K11" i="4"/>
  <c r="J11" i="4"/>
  <c r="I11" i="4"/>
  <c r="H11" i="4"/>
  <c r="G11" i="4"/>
  <c r="E11" i="4"/>
  <c r="F11" i="4" s="1"/>
  <c r="G13" i="7" s="1"/>
  <c r="D11" i="4"/>
  <c r="L11" i="4" s="1"/>
  <c r="C11" i="4"/>
  <c r="B11" i="4"/>
  <c r="M10" i="4"/>
  <c r="K10" i="4"/>
  <c r="J10" i="4"/>
  <c r="I10" i="4"/>
  <c r="H10" i="4"/>
  <c r="G10" i="4"/>
  <c r="E10" i="4"/>
  <c r="F10" i="4" s="1"/>
  <c r="G12" i="7" s="1"/>
  <c r="D10" i="4"/>
  <c r="L10" i="4" s="1"/>
  <c r="C10" i="4"/>
  <c r="B10" i="4"/>
  <c r="M9" i="4"/>
  <c r="K9" i="4"/>
  <c r="J9" i="4"/>
  <c r="I9" i="4"/>
  <c r="H9" i="4"/>
  <c r="G9" i="4"/>
  <c r="E9" i="4"/>
  <c r="F9" i="4" s="1"/>
  <c r="G11" i="7" s="1"/>
  <c r="D9" i="4"/>
  <c r="L9" i="4" s="1"/>
  <c r="C9" i="4"/>
  <c r="B9" i="4"/>
  <c r="M8" i="4"/>
  <c r="K8" i="4"/>
  <c r="J8" i="4"/>
  <c r="I8" i="4"/>
  <c r="H8" i="4"/>
  <c r="G8" i="4"/>
  <c r="E8" i="4"/>
  <c r="F8" i="4" s="1"/>
  <c r="G10" i="7" s="1"/>
  <c r="D8" i="4"/>
  <c r="L8" i="4" s="1"/>
  <c r="C8" i="4"/>
  <c r="B8" i="4"/>
  <c r="M7" i="4"/>
  <c r="K7" i="4"/>
  <c r="J7" i="4"/>
  <c r="I7" i="4"/>
  <c r="H7" i="4"/>
  <c r="G7" i="4"/>
  <c r="E7" i="4"/>
  <c r="F7" i="4" s="1"/>
  <c r="G9" i="7" s="1"/>
  <c r="D7" i="4"/>
  <c r="L7" i="4" s="1"/>
  <c r="C7" i="4"/>
  <c r="B7" i="4"/>
  <c r="M6" i="4"/>
  <c r="K6" i="4"/>
  <c r="J6" i="4"/>
  <c r="I6" i="4"/>
  <c r="H6" i="4"/>
  <c r="G6" i="4"/>
  <c r="E6" i="4"/>
  <c r="F6" i="4" s="1"/>
  <c r="G8" i="7" s="1"/>
  <c r="D6" i="4"/>
  <c r="L6" i="4" s="1"/>
  <c r="C6" i="4"/>
  <c r="B6" i="4"/>
  <c r="M5" i="4"/>
  <c r="K5" i="4"/>
  <c r="J5" i="4"/>
  <c r="I5" i="4"/>
  <c r="H5" i="4"/>
  <c r="G5" i="4"/>
  <c r="E5" i="4"/>
  <c r="F5" i="4" s="1"/>
  <c r="G7" i="7" s="1"/>
  <c r="D5" i="4"/>
  <c r="L5" i="4" s="1"/>
  <c r="C5" i="4"/>
  <c r="B5" i="4"/>
  <c r="M4" i="4"/>
  <c r="K4" i="4"/>
  <c r="J4" i="4"/>
  <c r="I4" i="4"/>
  <c r="H4" i="4"/>
  <c r="G4" i="4"/>
  <c r="E4" i="4"/>
  <c r="F4" i="4" s="1"/>
  <c r="G6" i="7" s="1"/>
  <c r="D4" i="4"/>
  <c r="L4" i="4" s="1"/>
  <c r="C4" i="4"/>
  <c r="B4" i="4"/>
  <c r="M3" i="4"/>
  <c r="K3" i="4"/>
  <c r="J3" i="4"/>
  <c r="I3" i="4"/>
  <c r="H3" i="4"/>
  <c r="G3" i="4"/>
  <c r="E3" i="4"/>
  <c r="F3" i="4" s="1"/>
  <c r="D3" i="4"/>
  <c r="L3" i="4" s="1"/>
  <c r="C3" i="4"/>
  <c r="B3" i="4"/>
  <c r="M2" i="4"/>
  <c r="H12" i="5" s="1"/>
  <c r="K2" i="4"/>
  <c r="I11" i="5" s="1"/>
  <c r="J2" i="4"/>
  <c r="I2" i="4"/>
  <c r="J10" i="5" s="1"/>
  <c r="H2" i="4"/>
  <c r="G9" i="5" s="1"/>
  <c r="G2" i="4"/>
  <c r="H8" i="5" s="1"/>
  <c r="E2" i="4"/>
  <c r="D2" i="4"/>
  <c r="J6" i="5" s="1"/>
  <c r="C2" i="4"/>
  <c r="C5" i="5" s="1"/>
  <c r="B2" i="4"/>
  <c r="G4" i="5" s="1"/>
  <c r="E7" i="5" l="1"/>
  <c r="F7" i="5"/>
  <c r="E4" i="5"/>
  <c r="G5" i="7"/>
  <c r="E8" i="5"/>
  <c r="B7" i="5"/>
  <c r="C6" i="5"/>
  <c r="G6" i="5"/>
  <c r="J7" i="5"/>
  <c r="D9" i="5"/>
  <c r="G10" i="5"/>
  <c r="D5" i="5"/>
  <c r="H9" i="5"/>
  <c r="I12" i="5"/>
  <c r="B4" i="5"/>
  <c r="F4" i="5"/>
  <c r="J4" i="5"/>
  <c r="E5" i="5"/>
  <c r="I5" i="5"/>
  <c r="D6" i="5"/>
  <c r="H6" i="5"/>
  <c r="C7" i="5"/>
  <c r="G7" i="5"/>
  <c r="B8" i="5"/>
  <c r="F8" i="5"/>
  <c r="J8" i="5"/>
  <c r="E9" i="5"/>
  <c r="I9" i="5"/>
  <c r="D10" i="5"/>
  <c r="H10" i="5"/>
  <c r="C11" i="5"/>
  <c r="G11" i="5"/>
  <c r="B12" i="5"/>
  <c r="F12" i="5"/>
  <c r="J12" i="5"/>
  <c r="J11" i="5"/>
  <c r="E12" i="5"/>
  <c r="C4" i="5"/>
  <c r="B5" i="5"/>
  <c r="F5" i="5"/>
  <c r="J5" i="5"/>
  <c r="E6" i="5"/>
  <c r="I6" i="5"/>
  <c r="D7" i="5"/>
  <c r="H7" i="5"/>
  <c r="C8" i="5"/>
  <c r="G8" i="5"/>
  <c r="B9" i="5"/>
  <c r="F9" i="5"/>
  <c r="J9" i="5"/>
  <c r="E10" i="5"/>
  <c r="I10" i="5"/>
  <c r="D11" i="5"/>
  <c r="H11" i="5"/>
  <c r="C12" i="5"/>
  <c r="G12" i="5"/>
  <c r="H5" i="5"/>
  <c r="C10" i="5"/>
  <c r="L2" i="4"/>
  <c r="D4" i="5"/>
  <c r="H4" i="5"/>
  <c r="G5" i="5"/>
  <c r="B6" i="5"/>
  <c r="F6" i="5"/>
  <c r="I7" i="5"/>
  <c r="D8" i="5"/>
  <c r="C9" i="5"/>
  <c r="B10" i="5"/>
  <c r="F10" i="5"/>
  <c r="E11" i="5"/>
  <c r="D12" i="5"/>
</calcChain>
</file>

<file path=xl/comments1.xml><?xml version="1.0" encoding="utf-8"?>
<comments xmlns="http://schemas.openxmlformats.org/spreadsheetml/2006/main">
  <authors>
    <author>OpenAI</author>
  </authors>
  <commentList>
    <comment ref="D2" authorId="0" shapeId="0">
      <text>
        <r>
          <rPr>
            <sz val="11"/>
            <color theme="1"/>
            <rFont val="Calibri"/>
            <family val="2"/>
            <scheme val="minor"/>
          </rPr>
          <t>N/A for 2010–2014 because the standardized SBP Policy (Target) Rate series used here begins in 2015.</t>
        </r>
      </text>
    </comment>
  </commentList>
</comments>
</file>

<file path=xl/comments2.xml><?xml version="1.0" encoding="utf-8"?>
<comments xmlns="http://schemas.openxmlformats.org/spreadsheetml/2006/main">
  <authors>
    <author>OpenAI</author>
  </authors>
  <commentList>
    <comment ref="F2" authorId="0" shapeId="0">
      <text>
        <r>
          <rPr>
            <sz val="11"/>
            <color theme="1"/>
            <rFont val="Calibri"/>
            <family val="2"/>
            <scheme val="minor"/>
          </rPr>
          <t>No 2009 base is included, so 2010 FX depreciation is intentionally blank.</t>
        </r>
      </text>
    </comment>
  </commentList>
</comments>
</file>

<file path=xl/sharedStrings.xml><?xml version="1.0" encoding="utf-8"?>
<sst xmlns="http://schemas.openxmlformats.org/spreadsheetml/2006/main" count="173" uniqueCount="134">
  <si>
    <t>Pakistan Economic Outlook &amp; Market Analysis</t>
  </si>
  <si>
    <t>Project purpose</t>
  </si>
  <si>
    <t>Professional economics + finance research project covering Pakistan's growth, inflation, monetary policy, currency, external sector and KSE-100 performance.</t>
  </si>
  <si>
    <t>Period</t>
  </si>
  <si>
    <t>2010–2025 calendar-year dataset</t>
  </si>
  <si>
    <t>Core question</t>
  </si>
  <si>
    <t>How have Pakistan's macroeconomic conditions and financial-market performance moved together?</t>
  </si>
  <si>
    <t>Tools</t>
  </si>
  <si>
    <t>Microsoft Excel; structured so the cleaned data can also feed Power BI later</t>
  </si>
  <si>
    <t>Main outputs</t>
  </si>
  <si>
    <t>Economic trends, external-sector analysis, monetary/currency analysis, KSE-100 analysis and correlations</t>
  </si>
  <si>
    <t>Methodology</t>
  </si>
  <si>
    <t>World Bank macro indicators use calendar-year data; KSE-100 uses calendar-year closing levels.</t>
  </si>
  <si>
    <t>Policy-rate note</t>
  </si>
  <si>
    <t>Standardized SBP Policy (Target) Rate is used from 2015 onward. 2010–2014 are marked N/A rather than mixing different interest-rate definitions.</t>
  </si>
  <si>
    <t>Workbook structure</t>
  </si>
  <si>
    <t>01_Sources</t>
  </si>
  <si>
    <t>Source register, indicator definitions, coverage and URLs</t>
  </si>
  <si>
    <t>02_Raw Data</t>
  </si>
  <si>
    <t>Clean historical research dataset</t>
  </si>
  <si>
    <t>03_Calculations</t>
  </si>
  <si>
    <t>Derived indicators: FX depreciation, trade balance and approximate real policy rate</t>
  </si>
  <si>
    <t>04_Correlation</t>
  </si>
  <si>
    <t>Correlation matrix for core economic/market variables</t>
  </si>
  <si>
    <t>05_Economic Analysis</t>
  </si>
  <si>
    <t>Economic summary tables and charts</t>
  </si>
  <si>
    <t>06_Market Analysis</t>
  </si>
  <si>
    <t>KSE-100 analysis and macro-market comparison</t>
  </si>
  <si>
    <t>Quality control</t>
  </si>
  <si>
    <t>No forecast values are mixed into the historical dataset. Where a standardized series starts later, the workbook explicitly marks the unavailable years.</t>
  </si>
  <si>
    <t>Source ID</t>
  </si>
  <si>
    <t>Institution / Source</t>
  </si>
  <si>
    <t>Indicator(s)</t>
  </si>
  <si>
    <t>Coverage / Use</t>
  </si>
  <si>
    <t>URL</t>
  </si>
  <si>
    <t>Notes</t>
  </si>
  <si>
    <t>S01</t>
  </si>
  <si>
    <t>World Bank – World Development Indicators</t>
  </si>
  <si>
    <t>GDP growth; CPI inflation; exports % GDP; imports % GDP; remittances % GDP; current account % GDP; official exchange rate</t>
  </si>
  <si>
    <t>2010–2025</t>
  </si>
  <si>
    <t>https://data.worldbank.org/country/pakistan</t>
  </si>
  <si>
    <t>Primary macro dataset; CC BY 4.0.</t>
  </si>
  <si>
    <t>S02</t>
  </si>
  <si>
    <t>World Bank – GDP Growth</t>
  </si>
  <si>
    <t>GDP growth (annual %)</t>
  </si>
  <si>
    <t>https://data.worldbank.org/indicator/NY.GDP.MKTP.KD.ZG?locations=PK</t>
  </si>
  <si>
    <t>Calendar-year WDI series.</t>
  </si>
  <si>
    <t>S03</t>
  </si>
  <si>
    <t>World Bank – CPI Inflation</t>
  </si>
  <si>
    <t>Inflation, consumer prices (annual %)</t>
  </si>
  <si>
    <t>https://data.worldbank.org/indicator/FP.CPI.TOTL.ZG?locations=PK</t>
  </si>
  <si>
    <t>S04</t>
  </si>
  <si>
    <t>World Bank – Exchange Rate</t>
  </si>
  <si>
    <t>Official exchange rate, LCU per US$, period average</t>
  </si>
  <si>
    <t>https://data.worldbank.org/indicator/PA.NUS.FCRF?locations=PK</t>
  </si>
  <si>
    <t>Annual average; underlying source is IMF International Financial Statistics.</t>
  </si>
  <si>
    <t>S05</t>
  </si>
  <si>
    <t>World Bank – External Sector</t>
  </si>
  <si>
    <t>Exports/imports % GDP; current account % GDP; remittances % GDP</t>
  </si>
  <si>
    <t>2010–2025 where available</t>
  </si>
  <si>
    <t>World Bank WDI indicators; some underlying series are IMF BOP data.</t>
  </si>
  <si>
    <t>S06</t>
  </si>
  <si>
    <t>State Bank of Pakistan – EasyData / Monetary Policy</t>
  </si>
  <si>
    <t>Policy (Target) Rate</t>
  </si>
  <si>
    <t>2015–2025</t>
  </si>
  <si>
    <t>https://easydata.sbp.org.pk/</t>
  </si>
  <si>
    <t>Year-end policy target rate used for this project.</t>
  </si>
  <si>
    <t>S07</t>
  </si>
  <si>
    <t>Pakistan Stock Exchange</t>
  </si>
  <si>
    <t>KSE-100 definition and recent official values</t>
  </si>
  <si>
    <t>2021–2025 cross-check</t>
  </si>
  <si>
    <t>https://www.psx.com.pk/psx/product-and-services/indices</t>
  </si>
  <si>
    <t>KSE-100 is the major free-float market-capitalization index.</t>
  </si>
  <si>
    <t>S08</t>
  </si>
  <si>
    <t>KSE-100 historical annual performance</t>
  </si>
  <si>
    <t>Calendar-year KSE-100 closes/returns</t>
  </si>
  <si>
    <t>https://en.wikipedia.org/wiki/KSE_100_Index</t>
  </si>
  <si>
    <t>Used for a consistent calendar-year close/return series; recent observations cross-checked against PSX.</t>
  </si>
  <si>
    <t>Year</t>
  </si>
  <si>
    <t>GDP Growth (%)</t>
  </si>
  <si>
    <t>CPI Inflation (%)</t>
  </si>
  <si>
    <t>Policy Rate EOP (%)</t>
  </si>
  <si>
    <t>USD/PKR Avg</t>
  </si>
  <si>
    <t>Exports (% GDP)</t>
  </si>
  <si>
    <t>Imports (% GDP)</t>
  </si>
  <si>
    <t>Remittances (% GDP)</t>
  </si>
  <si>
    <t>Current Account (% GDP)</t>
  </si>
  <si>
    <t>KSE-100 Close</t>
  </si>
  <si>
    <t>KSE-100 Return (%)</t>
  </si>
  <si>
    <t>Inflation (%)</t>
  </si>
  <si>
    <t>FX Depreciation (%)</t>
  </si>
  <si>
    <t>Trade Balance (% GDP)</t>
  </si>
  <si>
    <t>Real Policy Rate (Approx.)</t>
  </si>
  <si>
    <t>Correlation Matrix — Core Economic &amp; Market Variables</t>
  </si>
  <si>
    <t>Variable</t>
  </si>
  <si>
    <t>GDP Growth</t>
  </si>
  <si>
    <t>Inflation</t>
  </si>
  <si>
    <t>Policy Rate</t>
  </si>
  <si>
    <t>FX Depreciation</t>
  </si>
  <si>
    <t>Exports % GDP</t>
  </si>
  <si>
    <t>Imports % GDP</t>
  </si>
  <si>
    <t>Trade Balance</t>
  </si>
  <si>
    <t>Current Account</t>
  </si>
  <si>
    <t>KSE Return</t>
  </si>
  <si>
    <t>Interpretation note</t>
  </si>
  <si>
    <t>Correlation indicates association, not causation. Policy-rate correlations effectively use 2015–2025 because earlier years are N/A.</t>
  </si>
  <si>
    <t>Economic Analysis — Pakistan 2010–2025</t>
  </si>
  <si>
    <t>Indicator</t>
  </si>
  <si>
    <t>2010</t>
  </si>
  <si>
    <t>2015</t>
  </si>
  <si>
    <t>2020</t>
  </si>
  <si>
    <t>2023</t>
  </si>
  <si>
    <t>2025</t>
  </si>
  <si>
    <t>2010–2025 Change</t>
  </si>
  <si>
    <t>Research Use</t>
  </si>
  <si>
    <t>Growth-cycle analysis</t>
  </si>
  <si>
    <t>Price-stability analysis</t>
  </si>
  <si>
    <t>Currency-pressure analysis</t>
  </si>
  <si>
    <t>External-sector openness</t>
  </si>
  <si>
    <t>Import dependence</t>
  </si>
  <si>
    <t>External income support</t>
  </si>
  <si>
    <t>External balance</t>
  </si>
  <si>
    <t>Research questions to answer</t>
  </si>
  <si>
    <t>1. Which years show the clearest expansion/contraction in real GDP growth?</t>
  </si>
  <si>
    <t>2. How did inflation and the policy-rate cycle move during 2018–2025?</t>
  </si>
  <si>
    <t>3. How rapidly did the PKR weaken during major external-pressure periods?</t>
  </si>
  <si>
    <t>4. Did external-account conditions improve when imports contracted or remittances increased?</t>
  </si>
  <si>
    <t>5. How did the KSE-100 behave during major macroeconomic stress and stabilization periods?</t>
  </si>
  <si>
    <t>Market Analysis — KSE-100 and Macroeconomic Conditions</t>
  </si>
  <si>
    <t>Market research prompts</t>
  </si>
  <si>
    <t>Compare KSE-100 annual returns with GDP growth and inflation without assuming direct causation.</t>
  </si>
  <si>
    <t>Identify years where high inflation coincided with strong or weak equity-market returns.</t>
  </si>
  <si>
    <t>Compare currency depreciation with KSE-100 performance and current-account conditions.</t>
  </si>
  <si>
    <t>Use the correlation matrix as a screening tool; explain that correlation does not establish causation.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</si>
</sst>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2"/>
      <color rgb="FF1F4E78"/>
      <name val="Calibri"/>
    </font>
    <font>
      <b/>
      <sz val="11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color rgb="FF1F4E7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6" fillId="0" borderId="0" xfId="0" applyFont="1"/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0" fillId="0" borderId="0" xfId="0" applyAlignment="1">
      <alignment vertical="top" wrapText="1"/>
    </xf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GDP Growth vs CPI Inflation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'02_Raw Data'!$B$1</c:f>
              <c:strCache>
                <c:ptCount val="1"/>
                <c:pt idx="0">
                  <c:v>GDP Growth (%)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'02_Raw Data'!$A$2:$A$17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'02_Raw Data'!$B$2:$B$17</c:f>
              <c:numCache>
                <c:formatCode>0.00</c:formatCode>
                <c:ptCount val="16"/>
                <c:pt idx="0">
                  <c:v>1.5</c:v>
                </c:pt>
                <c:pt idx="1">
                  <c:v>2.68</c:v>
                </c:pt>
                <c:pt idx="2">
                  <c:v>3.03</c:v>
                </c:pt>
                <c:pt idx="3">
                  <c:v>4.37</c:v>
                </c:pt>
                <c:pt idx="4">
                  <c:v>4.12</c:v>
                </c:pt>
                <c:pt idx="5">
                  <c:v>4.22</c:v>
                </c:pt>
                <c:pt idx="6">
                  <c:v>6.57</c:v>
                </c:pt>
                <c:pt idx="7">
                  <c:v>4.43</c:v>
                </c:pt>
                <c:pt idx="8">
                  <c:v>6.15</c:v>
                </c:pt>
                <c:pt idx="9">
                  <c:v>2.5</c:v>
                </c:pt>
                <c:pt idx="10">
                  <c:v>-1.27</c:v>
                </c:pt>
                <c:pt idx="11">
                  <c:v>6.51</c:v>
                </c:pt>
                <c:pt idx="12">
                  <c:v>4.78</c:v>
                </c:pt>
                <c:pt idx="13">
                  <c:v>-0.41</c:v>
                </c:pt>
                <c:pt idx="14">
                  <c:v>3.05</c:v>
                </c:pt>
                <c:pt idx="15">
                  <c:v>3.7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1F6-4169-8F27-5E6444429F8E}"/>
            </c:ext>
          </c:extLst>
        </c:ser>
        <c:ser>
          <c:idx val="1"/>
          <c:order val="1"/>
          <c:tx>
            <c:strRef>
              <c:f>'02_Raw Data'!$C$1</c:f>
              <c:strCache>
                <c:ptCount val="1"/>
                <c:pt idx="0">
                  <c:v>CPI Inflation (%)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'02_Raw Data'!$A$2:$A$17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'02_Raw Data'!$C$2:$C$17</c:f>
              <c:numCache>
                <c:formatCode>0.00</c:formatCode>
                <c:ptCount val="16"/>
                <c:pt idx="0">
                  <c:v>12.9389</c:v>
                </c:pt>
                <c:pt idx="1">
                  <c:v>11.9161</c:v>
                </c:pt>
                <c:pt idx="2">
                  <c:v>9.6823999999999995</c:v>
                </c:pt>
                <c:pt idx="3">
                  <c:v>7.6921999999999997</c:v>
                </c:pt>
                <c:pt idx="4">
                  <c:v>7.1894</c:v>
                </c:pt>
                <c:pt idx="5">
                  <c:v>2.5293000000000001</c:v>
                </c:pt>
                <c:pt idx="6">
                  <c:v>3.7650999999999999</c:v>
                </c:pt>
                <c:pt idx="7">
                  <c:v>4.0853999999999999</c:v>
                </c:pt>
                <c:pt idx="8">
                  <c:v>5.0781000000000001</c:v>
                </c:pt>
                <c:pt idx="9">
                  <c:v>10.577999999999999</c:v>
                </c:pt>
                <c:pt idx="10">
                  <c:v>9.7401</c:v>
                </c:pt>
                <c:pt idx="11">
                  <c:v>9.4963999999999995</c:v>
                </c:pt>
                <c:pt idx="12">
                  <c:v>19.873899999999999</c:v>
                </c:pt>
                <c:pt idx="13">
                  <c:v>30.7681</c:v>
                </c:pt>
                <c:pt idx="14">
                  <c:v>12.6325</c:v>
                </c:pt>
                <c:pt idx="15">
                  <c:v>3.5455999999999999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1F6-4169-8F27-5E6444429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USD/PKR Annual Average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'02_Raw Data'!$E$1</c:f>
              <c:strCache>
                <c:ptCount val="1"/>
                <c:pt idx="0">
                  <c:v>USD/PKR Avg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'02_Raw Data'!$A$2:$A$17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'02_Raw Data'!$E$2:$E$17</c:f>
              <c:numCache>
                <c:formatCode>0.00</c:formatCode>
                <c:ptCount val="16"/>
                <c:pt idx="0">
                  <c:v>85.19</c:v>
                </c:pt>
                <c:pt idx="1">
                  <c:v>86.34</c:v>
                </c:pt>
                <c:pt idx="2">
                  <c:v>93.4</c:v>
                </c:pt>
                <c:pt idx="3">
                  <c:v>101.63</c:v>
                </c:pt>
                <c:pt idx="4">
                  <c:v>101.1</c:v>
                </c:pt>
                <c:pt idx="5">
                  <c:v>102.77</c:v>
                </c:pt>
                <c:pt idx="6">
                  <c:v>104.77</c:v>
                </c:pt>
                <c:pt idx="7">
                  <c:v>105.46</c:v>
                </c:pt>
                <c:pt idx="8">
                  <c:v>121.82</c:v>
                </c:pt>
                <c:pt idx="9">
                  <c:v>150.04</c:v>
                </c:pt>
                <c:pt idx="10">
                  <c:v>161.84</c:v>
                </c:pt>
                <c:pt idx="11">
                  <c:v>162.91</c:v>
                </c:pt>
                <c:pt idx="12">
                  <c:v>204.87</c:v>
                </c:pt>
                <c:pt idx="13">
                  <c:v>280.36</c:v>
                </c:pt>
                <c:pt idx="14">
                  <c:v>278.58</c:v>
                </c:pt>
                <c:pt idx="15">
                  <c:v>281.14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E2F-4346-910C-F219D948D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PKR per USD</a:t>
                </a:r>
              </a:p>
            </c:rich>
          </c:tx>
          <c:layout/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KSE-100 Annual Return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1.7638888888888888E-2"/>
          <c:y val="9.5753968253968258E-2"/>
          <c:w val="0.94456349206349211"/>
          <c:h val="0.889126984126984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'06_Market Analysis'!$C$3</c:f>
              <c:strCache>
                <c:ptCount val="1"/>
                <c:pt idx="0">
                  <c:v>KSE-100 Return (%)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'06_Market Analysis'!$A$4:$A$19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'06_Market Analysis'!$C$4:$C$19</c:f>
              <c:numCache>
                <c:formatCode>0.00</c:formatCode>
                <c:ptCount val="16"/>
                <c:pt idx="0">
                  <c:v>0</c:v>
                </c:pt>
                <c:pt idx="1">
                  <c:v>-5.6128279902781912</c:v>
                </c:pt>
                <c:pt idx="2">
                  <c:v>48.976352833976357</c:v>
                </c:pt>
                <c:pt idx="3">
                  <c:v>49.427074183112651</c:v>
                </c:pt>
                <c:pt idx="4">
                  <c:v>27.196476485225919</c:v>
                </c:pt>
                <c:pt idx="5">
                  <c:v>2.131972333501797</c:v>
                </c:pt>
                <c:pt idx="6">
                  <c:v>45.680516791802631</c:v>
                </c:pt>
                <c:pt idx="7">
                  <c:v>-15.34397599345869</c:v>
                </c:pt>
                <c:pt idx="8">
                  <c:v>-8.4128625886673909</c:v>
                </c:pt>
                <c:pt idx="9">
                  <c:v>9.8967886783463577</c:v>
                </c:pt>
                <c:pt idx="10">
                  <c:v>7.4144938465813706</c:v>
                </c:pt>
                <c:pt idx="11">
                  <c:v>1.9213408728252499</c:v>
                </c:pt>
                <c:pt idx="12">
                  <c:v>-9.3632017350407821</c:v>
                </c:pt>
                <c:pt idx="13">
                  <c:v>54.50357430459087</c:v>
                </c:pt>
                <c:pt idx="14">
                  <c:v>84.347450418760019</c:v>
                </c:pt>
                <c:pt idx="15">
                  <c:v>51.184753519811622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A5-45CB-BACE-140E73A7E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Inflation vs Policy Rate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'06_Market Analysis'!$E$3</c:f>
              <c:strCache>
                <c:ptCount val="1"/>
                <c:pt idx="0">
                  <c:v>Inflation (%)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'06_Market Analysis'!$A$4:$A$19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'06_Market Analysis'!$E$4:$E$19</c:f>
              <c:numCache>
                <c:formatCode>0.00</c:formatCode>
                <c:ptCount val="16"/>
                <c:pt idx="0">
                  <c:v>12.9389</c:v>
                </c:pt>
                <c:pt idx="1">
                  <c:v>11.9161</c:v>
                </c:pt>
                <c:pt idx="2">
                  <c:v>9.6823999999999995</c:v>
                </c:pt>
                <c:pt idx="3">
                  <c:v>7.6921999999999997</c:v>
                </c:pt>
                <c:pt idx="4">
                  <c:v>7.1894</c:v>
                </c:pt>
                <c:pt idx="5">
                  <c:v>2.5293000000000001</c:v>
                </c:pt>
                <c:pt idx="6">
                  <c:v>3.7650999999999999</c:v>
                </c:pt>
                <c:pt idx="7">
                  <c:v>4.0853999999999999</c:v>
                </c:pt>
                <c:pt idx="8">
                  <c:v>5.0781000000000001</c:v>
                </c:pt>
                <c:pt idx="9">
                  <c:v>10.577999999999999</c:v>
                </c:pt>
                <c:pt idx="10">
                  <c:v>9.7401</c:v>
                </c:pt>
                <c:pt idx="11">
                  <c:v>9.4963999999999995</c:v>
                </c:pt>
                <c:pt idx="12">
                  <c:v>19.873899999999999</c:v>
                </c:pt>
                <c:pt idx="13">
                  <c:v>30.7681</c:v>
                </c:pt>
                <c:pt idx="14">
                  <c:v>12.6325</c:v>
                </c:pt>
                <c:pt idx="15">
                  <c:v>3.5455999999999999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C0A-4822-878F-B0713DC5AD5E}"/>
            </c:ext>
          </c:extLst>
        </c:ser>
        <c:ser>
          <c:idx val="1"/>
          <c:order val="1"/>
          <c:tx>
            <c:strRef>
              <c:f>'06_Market Analysis'!$F$3</c:f>
              <c:strCache>
                <c:ptCount val="1"/>
                <c:pt idx="0">
                  <c:v>Policy Rate EOP (%)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'06_Market Analysis'!$A$4:$A$19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'06_Market Analysis'!$F$4:$F$19</c:f>
              <c:numCache>
                <c:formatCode>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6.5</c:v>
                </c:pt>
                <c:pt idx="5">
                  <c:v>5.75</c:v>
                </c:pt>
                <c:pt idx="6">
                  <c:v>6</c:v>
                </c:pt>
                <c:pt idx="7">
                  <c:v>10</c:v>
                </c:pt>
                <c:pt idx="8">
                  <c:v>13.25</c:v>
                </c:pt>
                <c:pt idx="9">
                  <c:v>7</c:v>
                </c:pt>
                <c:pt idx="10">
                  <c:v>7</c:v>
                </c:pt>
                <c:pt idx="11">
                  <c:v>15.75</c:v>
                </c:pt>
                <c:pt idx="12">
                  <c:v>22</c:v>
                </c:pt>
                <c:pt idx="13">
                  <c:v>13</c:v>
                </c:pt>
                <c:pt idx="14">
                  <c:v>11</c:v>
                </c:pt>
                <c:pt idx="15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C0A-4822-878F-B0713DC5A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4680000" cy="25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20</xdr:row>
      <xdr:rowOff>0</xdr:rowOff>
    </xdr:from>
    <xdr:ext cx="4680000" cy="252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104774</xdr:rowOff>
    </xdr:from>
    <xdr:ext cx="5040000" cy="2466976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17</xdr:row>
      <xdr:rowOff>0</xdr:rowOff>
    </xdr:from>
    <xdr:ext cx="5040000" cy="252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RawMacroData" displayName="RawMacroData" ref="A1:K17">
  <autoFilter ref="A1:K17"/>
  <tableColumns count="11">
    <tableColumn id="1" name="Year"/>
    <tableColumn id="2" name="GDP Growth (%)"/>
    <tableColumn id="3" name="CPI Inflation (%)"/>
    <tableColumn id="4" name="Policy Rate EOP (%)"/>
    <tableColumn id="5" name="USD/PKR Avg"/>
    <tableColumn id="6" name="Exports (% GDP)"/>
    <tableColumn id="7" name="Imports (% GDP)"/>
    <tableColumn id="8" name="Remittances (% GDP)"/>
    <tableColumn id="9" name="Current Account (% GDP)"/>
    <tableColumn id="10" name="KSE-100 Close"/>
    <tableColumn id="11" name="KSE-100 Return (%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lculatedIndicators" displayName="CalculatedIndicators" ref="A1:M17">
  <autoFilter ref="A1:M17"/>
  <tableColumns count="13">
    <tableColumn id="1" name="Year"/>
    <tableColumn id="2" name="GDP Growth (%)"/>
    <tableColumn id="3" name="Inflation (%)"/>
    <tableColumn id="4" name="Policy Rate EOP (%)"/>
    <tableColumn id="5" name="USD/PKR Avg"/>
    <tableColumn id="6" name="FX Depreciation (%)"/>
    <tableColumn id="7" name="Exports (% GDP)"/>
    <tableColumn id="8" name="Imports (% GDP)"/>
    <tableColumn id="9" name="Trade Balance (% GDP)"/>
    <tableColumn id="10" name="Remittances (% GDP)"/>
    <tableColumn id="11" name="Current Account (% GDP)"/>
    <tableColumn id="12" name="Real Policy Rate (Approx.)"/>
    <tableColumn id="13" name="KSE-100 Return (%)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6"/>
  <sheetViews>
    <sheetView showGridLines="0" workbookViewId="0">
      <pane ySplit="6" topLeftCell="A7" activePane="bottomLeft" state="frozen"/>
      <selection pane="bottomLeft" activeCell="G1" sqref="G1:G1048576"/>
    </sheetView>
  </sheetViews>
  <sheetFormatPr defaultRowHeight="15" x14ac:dyDescent="0.25"/>
  <cols>
    <col min="1" max="1" width="21.42578125" bestFit="1" customWidth="1"/>
    <col min="2" max="2" width="40" customWidth="1"/>
    <col min="3" max="6" width="10" customWidth="1"/>
  </cols>
  <sheetData>
    <row r="1" spans="1:6" ht="23.25" x14ac:dyDescent="0.35">
      <c r="A1" s="16" t="s">
        <v>0</v>
      </c>
      <c r="B1" s="14"/>
      <c r="C1" s="14"/>
      <c r="D1" s="14"/>
      <c r="E1" s="14"/>
      <c r="F1" s="14"/>
    </row>
    <row r="3" spans="1:6" ht="15.75" x14ac:dyDescent="0.25">
      <c r="A3" s="1" t="s">
        <v>1</v>
      </c>
    </row>
    <row r="4" spans="1:6" x14ac:dyDescent="0.25">
      <c r="A4" s="17" t="s">
        <v>2</v>
      </c>
      <c r="B4" s="14"/>
      <c r="C4" s="14"/>
      <c r="D4" s="14"/>
      <c r="E4" s="14"/>
      <c r="F4" s="14"/>
    </row>
    <row r="5" spans="1:6" x14ac:dyDescent="0.25">
      <c r="A5" s="14"/>
      <c r="B5" s="14"/>
      <c r="C5" s="14"/>
      <c r="D5" s="14"/>
      <c r="E5" s="14"/>
      <c r="F5" s="14"/>
    </row>
    <row r="7" spans="1:6" x14ac:dyDescent="0.25">
      <c r="A7" s="2" t="s">
        <v>3</v>
      </c>
      <c r="B7" s="15" t="s">
        <v>4</v>
      </c>
      <c r="C7" s="14"/>
      <c r="D7" s="14"/>
      <c r="E7" s="14"/>
      <c r="F7" s="14"/>
    </row>
    <row r="8" spans="1:6" x14ac:dyDescent="0.25">
      <c r="A8" s="2" t="s">
        <v>5</v>
      </c>
      <c r="B8" s="15" t="s">
        <v>6</v>
      </c>
      <c r="C8" s="14"/>
      <c r="D8" s="14"/>
      <c r="E8" s="14"/>
      <c r="F8" s="14"/>
    </row>
    <row r="9" spans="1:6" x14ac:dyDescent="0.25">
      <c r="A9" s="2" t="s">
        <v>7</v>
      </c>
      <c r="B9" s="15" t="s">
        <v>8</v>
      </c>
      <c r="C9" s="14"/>
      <c r="D9" s="14"/>
      <c r="E9" s="14"/>
      <c r="F9" s="14"/>
    </row>
    <row r="10" spans="1:6" x14ac:dyDescent="0.25">
      <c r="A10" s="2" t="s">
        <v>9</v>
      </c>
      <c r="B10" s="15" t="s">
        <v>10</v>
      </c>
      <c r="C10" s="14"/>
      <c r="D10" s="14"/>
      <c r="E10" s="14"/>
      <c r="F10" s="14"/>
    </row>
    <row r="11" spans="1:6" x14ac:dyDescent="0.25">
      <c r="A11" s="2" t="s">
        <v>11</v>
      </c>
      <c r="B11" s="15" t="s">
        <v>12</v>
      </c>
      <c r="C11" s="14"/>
      <c r="D11" s="14"/>
      <c r="E11" s="14"/>
      <c r="F11" s="14"/>
    </row>
    <row r="12" spans="1:6" x14ac:dyDescent="0.25">
      <c r="A12" s="2" t="s">
        <v>13</v>
      </c>
      <c r="B12" s="15" t="s">
        <v>14</v>
      </c>
      <c r="C12" s="14"/>
      <c r="D12" s="14"/>
      <c r="E12" s="14"/>
      <c r="F12" s="14"/>
    </row>
    <row r="15" spans="1:6" ht="15.75" x14ac:dyDescent="0.25">
      <c r="A15" s="1" t="s">
        <v>15</v>
      </c>
    </row>
    <row r="16" spans="1:6" x14ac:dyDescent="0.25">
      <c r="A16" s="2" t="s">
        <v>16</v>
      </c>
      <c r="B16" s="14" t="s">
        <v>17</v>
      </c>
      <c r="C16" s="14"/>
      <c r="D16" s="14"/>
      <c r="E16" s="14"/>
      <c r="F16" s="14"/>
    </row>
    <row r="17" spans="1:6" x14ac:dyDescent="0.25">
      <c r="A17" s="2" t="s">
        <v>18</v>
      </c>
      <c r="B17" s="14" t="s">
        <v>19</v>
      </c>
      <c r="C17" s="14"/>
      <c r="D17" s="14"/>
      <c r="E17" s="14"/>
      <c r="F17" s="14"/>
    </row>
    <row r="18" spans="1:6" x14ac:dyDescent="0.25">
      <c r="A18" s="2" t="s">
        <v>20</v>
      </c>
      <c r="B18" s="14" t="s">
        <v>21</v>
      </c>
      <c r="C18" s="14"/>
      <c r="D18" s="14"/>
      <c r="E18" s="14"/>
      <c r="F18" s="14"/>
    </row>
    <row r="19" spans="1:6" x14ac:dyDescent="0.25">
      <c r="A19" s="2" t="s">
        <v>22</v>
      </c>
      <c r="B19" s="14" t="s">
        <v>23</v>
      </c>
      <c r="C19" s="14"/>
      <c r="D19" s="14"/>
      <c r="E19" s="14"/>
      <c r="F19" s="14"/>
    </row>
    <row r="20" spans="1:6" x14ac:dyDescent="0.25">
      <c r="A20" s="2" t="s">
        <v>24</v>
      </c>
      <c r="B20" s="14" t="s">
        <v>25</v>
      </c>
      <c r="C20" s="14"/>
      <c r="D20" s="14"/>
      <c r="E20" s="14"/>
      <c r="F20" s="14"/>
    </row>
    <row r="21" spans="1:6" x14ac:dyDescent="0.25">
      <c r="A21" s="2" t="s">
        <v>26</v>
      </c>
      <c r="B21" s="14" t="s">
        <v>27</v>
      </c>
      <c r="C21" s="14"/>
      <c r="D21" s="14"/>
      <c r="E21" s="14"/>
      <c r="F21" s="14"/>
    </row>
    <row r="24" spans="1:6" ht="15.75" x14ac:dyDescent="0.25">
      <c r="A24" s="1" t="s">
        <v>28</v>
      </c>
    </row>
    <row r="25" spans="1:6" x14ac:dyDescent="0.25">
      <c r="A25" s="17" t="s">
        <v>29</v>
      </c>
      <c r="B25" s="14"/>
      <c r="C25" s="14"/>
      <c r="D25" s="14"/>
      <c r="E25" s="14"/>
      <c r="F25" s="14"/>
    </row>
    <row r="26" spans="1:6" x14ac:dyDescent="0.25">
      <c r="A26" s="14"/>
      <c r="B26" s="14"/>
      <c r="C26" s="14"/>
      <c r="D26" s="14"/>
      <c r="E26" s="14"/>
      <c r="F26" s="14"/>
    </row>
  </sheetData>
  <mergeCells count="15">
    <mergeCell ref="A1:F1"/>
    <mergeCell ref="B11:F11"/>
    <mergeCell ref="B18:F18"/>
    <mergeCell ref="B19:F19"/>
    <mergeCell ref="A25:F26"/>
    <mergeCell ref="B8:F8"/>
    <mergeCell ref="A4:F5"/>
    <mergeCell ref="B17:F17"/>
    <mergeCell ref="B9:F9"/>
    <mergeCell ref="B21:F21"/>
    <mergeCell ref="B12:F12"/>
    <mergeCell ref="B7:F7"/>
    <mergeCell ref="B16:F16"/>
    <mergeCell ref="B20:F20"/>
    <mergeCell ref="B10:F10"/>
  </mergeCell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9.28515625" bestFit="1" customWidth="1"/>
    <col min="2" max="2" width="47.42578125" bestFit="1" customWidth="1"/>
    <col min="3" max="3" width="53.140625" bestFit="1" customWidth="1"/>
    <col min="4" max="4" width="25" bestFit="1" customWidth="1"/>
    <col min="5" max="5" width="54.85546875" bestFit="1" customWidth="1"/>
    <col min="6" max="6" width="55" customWidth="1"/>
  </cols>
  <sheetData>
    <row r="1" spans="1:6" x14ac:dyDescent="0.25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</row>
    <row r="2" spans="1:6" ht="45" x14ac:dyDescent="0.25">
      <c r="A2" s="4" t="s">
        <v>36</v>
      </c>
      <c r="B2" s="4" t="s">
        <v>37</v>
      </c>
      <c r="C2" s="4" t="s">
        <v>38</v>
      </c>
      <c r="D2" s="4" t="s">
        <v>39</v>
      </c>
      <c r="E2" s="4" t="s">
        <v>40</v>
      </c>
      <c r="F2" s="4" t="s">
        <v>41</v>
      </c>
    </row>
    <row r="3" spans="1:6" ht="30" x14ac:dyDescent="0.25">
      <c r="A3" s="4" t="s">
        <v>42</v>
      </c>
      <c r="B3" s="4" t="s">
        <v>43</v>
      </c>
      <c r="C3" s="4" t="s">
        <v>44</v>
      </c>
      <c r="D3" s="4" t="s">
        <v>39</v>
      </c>
      <c r="E3" s="4" t="s">
        <v>45</v>
      </c>
      <c r="F3" s="4" t="s">
        <v>46</v>
      </c>
    </row>
    <row r="4" spans="1:6" ht="30" x14ac:dyDescent="0.25">
      <c r="A4" s="4" t="s">
        <v>47</v>
      </c>
      <c r="B4" s="4" t="s">
        <v>48</v>
      </c>
      <c r="C4" s="4" t="s">
        <v>49</v>
      </c>
      <c r="D4" s="4" t="s">
        <v>39</v>
      </c>
      <c r="E4" s="4" t="s">
        <v>50</v>
      </c>
      <c r="F4" s="4" t="s">
        <v>46</v>
      </c>
    </row>
    <row r="5" spans="1:6" ht="30" x14ac:dyDescent="0.25">
      <c r="A5" s="4" t="s">
        <v>51</v>
      </c>
      <c r="B5" s="4" t="s">
        <v>52</v>
      </c>
      <c r="C5" s="4" t="s">
        <v>53</v>
      </c>
      <c r="D5" s="4" t="s">
        <v>39</v>
      </c>
      <c r="E5" s="4" t="s">
        <v>54</v>
      </c>
      <c r="F5" s="4" t="s">
        <v>55</v>
      </c>
    </row>
    <row r="6" spans="1:6" ht="30" x14ac:dyDescent="0.25">
      <c r="A6" s="4" t="s">
        <v>56</v>
      </c>
      <c r="B6" s="4" t="s">
        <v>57</v>
      </c>
      <c r="C6" s="4" t="s">
        <v>58</v>
      </c>
      <c r="D6" s="4" t="s">
        <v>59</v>
      </c>
      <c r="E6" s="4" t="s">
        <v>40</v>
      </c>
      <c r="F6" s="4" t="s">
        <v>60</v>
      </c>
    </row>
    <row r="7" spans="1:6" x14ac:dyDescent="0.25">
      <c r="A7" s="4" t="s">
        <v>61</v>
      </c>
      <c r="B7" s="4" t="s">
        <v>62</v>
      </c>
      <c r="C7" s="4" t="s">
        <v>63</v>
      </c>
      <c r="D7" s="4" t="s">
        <v>64</v>
      </c>
      <c r="E7" s="4" t="s">
        <v>65</v>
      </c>
      <c r="F7" s="4" t="s">
        <v>66</v>
      </c>
    </row>
    <row r="8" spans="1:6" ht="30" x14ac:dyDescent="0.25">
      <c r="A8" s="4" t="s">
        <v>67</v>
      </c>
      <c r="B8" s="4" t="s">
        <v>68</v>
      </c>
      <c r="C8" s="4" t="s">
        <v>69</v>
      </c>
      <c r="D8" s="4" t="s">
        <v>70</v>
      </c>
      <c r="E8" s="4" t="s">
        <v>71</v>
      </c>
      <c r="F8" s="4" t="s">
        <v>72</v>
      </c>
    </row>
    <row r="9" spans="1:6" ht="30" x14ac:dyDescent="0.25">
      <c r="A9" s="4" t="s">
        <v>73</v>
      </c>
      <c r="B9" s="4" t="s">
        <v>74</v>
      </c>
      <c r="C9" s="4" t="s">
        <v>75</v>
      </c>
      <c r="D9" s="4" t="s">
        <v>39</v>
      </c>
      <c r="E9" s="4" t="s">
        <v>76</v>
      </c>
      <c r="F9" s="4" t="s">
        <v>77</v>
      </c>
    </row>
  </sheetData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17"/>
  <sheetViews>
    <sheetView showGridLines="0" tabSelected="1" topLeftCell="D1" workbookViewId="0">
      <pane ySplit="1" topLeftCell="A2" activePane="bottomLeft" state="frozen"/>
      <selection pane="bottomLeft" activeCell="F22" sqref="F22"/>
    </sheetView>
  </sheetViews>
  <sheetFormatPr defaultRowHeight="15" x14ac:dyDescent="0.25"/>
  <cols>
    <col min="1" max="1" width="10" customWidth="1"/>
    <col min="2" max="2" width="20.140625" bestFit="1" customWidth="1"/>
    <col min="3" max="3" width="20" bestFit="1" customWidth="1"/>
    <col min="4" max="4" width="23" bestFit="1" customWidth="1"/>
    <col min="5" max="5" width="17.28515625" bestFit="1" customWidth="1"/>
    <col min="6" max="6" width="20" bestFit="1" customWidth="1"/>
    <col min="7" max="7" width="20.28515625" bestFit="1" customWidth="1"/>
    <col min="8" max="8" width="24.5703125" bestFit="1" customWidth="1"/>
    <col min="9" max="9" width="28" bestFit="1" customWidth="1"/>
    <col min="10" max="10" width="17.85546875" bestFit="1" customWidth="1"/>
    <col min="11" max="11" width="22.5703125" bestFit="1" customWidth="1"/>
  </cols>
  <sheetData>
    <row r="1" spans="1:11" x14ac:dyDescent="0.25">
      <c r="A1" s="3" t="s">
        <v>78</v>
      </c>
      <c r="B1" s="3" t="s">
        <v>79</v>
      </c>
      <c r="C1" s="3" t="s">
        <v>80</v>
      </c>
      <c r="D1" s="3" t="s">
        <v>81</v>
      </c>
      <c r="E1" s="3" t="s">
        <v>82</v>
      </c>
      <c r="F1" s="3" t="s">
        <v>83</v>
      </c>
      <c r="G1" s="3" t="s">
        <v>84</v>
      </c>
      <c r="H1" s="3" t="s">
        <v>85</v>
      </c>
      <c r="I1" s="3" t="s">
        <v>86</v>
      </c>
      <c r="J1" s="3" t="s">
        <v>87</v>
      </c>
      <c r="K1" s="3" t="s">
        <v>88</v>
      </c>
    </row>
    <row r="2" spans="1:11" x14ac:dyDescent="0.25">
      <c r="A2" s="5">
        <v>2010</v>
      </c>
      <c r="B2" s="6">
        <v>1.5</v>
      </c>
      <c r="C2" s="6">
        <v>12.9389</v>
      </c>
      <c r="D2" s="7"/>
      <c r="E2" s="6">
        <v>85.19</v>
      </c>
      <c r="F2" s="6">
        <v>12.64</v>
      </c>
      <c r="G2" s="6">
        <v>19.350000000000001</v>
      </c>
      <c r="H2" s="6">
        <v>4.9260000000000002</v>
      </c>
      <c r="I2" s="6">
        <v>-0.7</v>
      </c>
      <c r="J2" s="8">
        <v>12022.46</v>
      </c>
      <c r="K2" s="6"/>
    </row>
    <row r="3" spans="1:11" x14ac:dyDescent="0.25">
      <c r="A3" s="5">
        <v>2011</v>
      </c>
      <c r="B3" s="6">
        <v>2.68</v>
      </c>
      <c r="C3" s="6">
        <v>11.9161</v>
      </c>
      <c r="D3" s="7"/>
      <c r="E3" s="6">
        <v>86.34</v>
      </c>
      <c r="F3" s="6">
        <v>13.48</v>
      </c>
      <c r="G3" s="6">
        <v>18.88</v>
      </c>
      <c r="H3" s="6">
        <v>5.3182</v>
      </c>
      <c r="I3" s="6">
        <v>-1</v>
      </c>
      <c r="J3" s="8">
        <v>11347.66</v>
      </c>
      <c r="K3" s="6">
        <v>-5.6128279902781912</v>
      </c>
    </row>
    <row r="4" spans="1:11" x14ac:dyDescent="0.25">
      <c r="A4" s="5">
        <v>2012</v>
      </c>
      <c r="B4" s="6">
        <v>3.03</v>
      </c>
      <c r="C4" s="6">
        <v>9.6823999999999995</v>
      </c>
      <c r="D4" s="7"/>
      <c r="E4" s="6">
        <v>93.4</v>
      </c>
      <c r="F4" s="6">
        <v>11.87</v>
      </c>
      <c r="G4" s="6">
        <v>19.45</v>
      </c>
      <c r="H4" s="6">
        <v>5.6003999999999996</v>
      </c>
      <c r="I4" s="6">
        <v>-0.9</v>
      </c>
      <c r="J4" s="8">
        <v>16905.330000000002</v>
      </c>
      <c r="K4" s="6">
        <v>48.976352833976357</v>
      </c>
    </row>
    <row r="5" spans="1:11" x14ac:dyDescent="0.25">
      <c r="A5" s="5">
        <v>2013</v>
      </c>
      <c r="B5" s="6">
        <v>4.37</v>
      </c>
      <c r="C5" s="6">
        <v>7.6921999999999997</v>
      </c>
      <c r="D5" s="7"/>
      <c r="E5" s="6">
        <v>101.63</v>
      </c>
      <c r="F5" s="6">
        <v>12.18</v>
      </c>
      <c r="G5" s="6">
        <v>18.71</v>
      </c>
      <c r="H5" s="6">
        <v>5.6557000000000004</v>
      </c>
      <c r="I5" s="6">
        <v>-1.7</v>
      </c>
      <c r="J5" s="8">
        <v>25261.14</v>
      </c>
      <c r="K5" s="6">
        <v>49.427074183112651</v>
      </c>
    </row>
    <row r="6" spans="1:11" x14ac:dyDescent="0.25">
      <c r="A6" s="5">
        <v>2014</v>
      </c>
      <c r="B6" s="6">
        <v>4.12</v>
      </c>
      <c r="C6" s="6">
        <v>7.1894</v>
      </c>
      <c r="D6" s="6">
        <v>6.5</v>
      </c>
      <c r="E6" s="6">
        <v>101.1</v>
      </c>
      <c r="F6" s="6">
        <v>11.19</v>
      </c>
      <c r="G6" s="6">
        <v>18.27</v>
      </c>
      <c r="H6" s="6">
        <v>6.3539000000000003</v>
      </c>
      <c r="I6" s="6">
        <v>-1.3</v>
      </c>
      <c r="J6" s="8">
        <v>32131.279999999999</v>
      </c>
      <c r="K6" s="6">
        <v>27.196476485225919</v>
      </c>
    </row>
    <row r="7" spans="1:11" x14ac:dyDescent="0.25">
      <c r="A7" s="5">
        <v>2015</v>
      </c>
      <c r="B7" s="6">
        <v>4.22</v>
      </c>
      <c r="C7" s="6">
        <v>2.5293000000000001</v>
      </c>
      <c r="D7" s="6">
        <v>5.75</v>
      </c>
      <c r="E7" s="6">
        <v>102.77</v>
      </c>
      <c r="F7" s="6">
        <v>9.9700000000000006</v>
      </c>
      <c r="G7" s="6">
        <v>16.71</v>
      </c>
      <c r="H7" s="6">
        <v>6.4360999999999997</v>
      </c>
      <c r="I7" s="6">
        <v>-0.9</v>
      </c>
      <c r="J7" s="8">
        <v>32816.31</v>
      </c>
      <c r="K7" s="6">
        <v>2.131972333501797</v>
      </c>
    </row>
    <row r="8" spans="1:11" x14ac:dyDescent="0.25">
      <c r="A8" s="5">
        <v>2016</v>
      </c>
      <c r="B8" s="6">
        <v>6.57</v>
      </c>
      <c r="C8" s="6">
        <v>3.7650999999999999</v>
      </c>
      <c r="D8" s="6">
        <v>6</v>
      </c>
      <c r="E8" s="6">
        <v>104.77</v>
      </c>
      <c r="F8" s="6">
        <v>8.74</v>
      </c>
      <c r="G8" s="6">
        <v>15.96</v>
      </c>
      <c r="H8" s="6">
        <v>6.3192000000000004</v>
      </c>
      <c r="I8" s="6">
        <v>-2.2999999999999998</v>
      </c>
      <c r="J8" s="8">
        <v>47806.97</v>
      </c>
      <c r="K8" s="6">
        <v>45.680516791802631</v>
      </c>
    </row>
    <row r="9" spans="1:11" x14ac:dyDescent="0.25">
      <c r="A9" s="5">
        <v>2017</v>
      </c>
      <c r="B9" s="6">
        <v>4.43</v>
      </c>
      <c r="C9" s="6">
        <v>4.0853999999999999</v>
      </c>
      <c r="D9" s="6">
        <v>10</v>
      </c>
      <c r="E9" s="6">
        <v>105.46</v>
      </c>
      <c r="F9" s="6">
        <v>8.2200000000000006</v>
      </c>
      <c r="G9" s="6">
        <v>17.25</v>
      </c>
      <c r="H9" s="6">
        <v>5.8536999999999999</v>
      </c>
      <c r="I9" s="6">
        <v>-4.8</v>
      </c>
      <c r="J9" s="8">
        <v>40471.480000000003</v>
      </c>
      <c r="K9" s="6">
        <v>-15.34397599345869</v>
      </c>
    </row>
    <row r="10" spans="1:11" x14ac:dyDescent="0.25">
      <c r="A10" s="5">
        <v>2018</v>
      </c>
      <c r="B10" s="6">
        <v>6.15</v>
      </c>
      <c r="C10" s="6">
        <v>5.0781000000000001</v>
      </c>
      <c r="D10" s="6">
        <v>13.25</v>
      </c>
      <c r="E10" s="6">
        <v>121.82</v>
      </c>
      <c r="F10" s="6">
        <v>8.58</v>
      </c>
      <c r="G10" s="6">
        <v>19.04</v>
      </c>
      <c r="H10" s="6">
        <v>5.9508999999999999</v>
      </c>
      <c r="I10" s="6">
        <v>-5.3</v>
      </c>
      <c r="J10" s="8">
        <v>37066.67</v>
      </c>
      <c r="K10" s="6">
        <v>-8.4128625886673909</v>
      </c>
    </row>
    <row r="11" spans="1:11" x14ac:dyDescent="0.25">
      <c r="A11" s="5">
        <v>2019</v>
      </c>
      <c r="B11" s="6">
        <v>2.5</v>
      </c>
      <c r="C11" s="6">
        <v>10.577999999999999</v>
      </c>
      <c r="D11" s="6">
        <v>7</v>
      </c>
      <c r="E11" s="6">
        <v>150.04</v>
      </c>
      <c r="F11" s="6">
        <v>9.39</v>
      </c>
      <c r="G11" s="6">
        <v>19.510000000000002</v>
      </c>
      <c r="H11" s="6">
        <v>6.9340000000000002</v>
      </c>
      <c r="I11" s="6">
        <v>-2.7</v>
      </c>
      <c r="J11" s="8">
        <v>40735.08</v>
      </c>
      <c r="K11" s="6">
        <v>9.8967886783463577</v>
      </c>
    </row>
    <row r="12" spans="1:11" x14ac:dyDescent="0.25">
      <c r="A12" s="5">
        <v>2020</v>
      </c>
      <c r="B12" s="6">
        <v>-1.27</v>
      </c>
      <c r="C12" s="6">
        <v>9.7401</v>
      </c>
      <c r="D12" s="6">
        <v>7</v>
      </c>
      <c r="E12" s="6">
        <v>161.84</v>
      </c>
      <c r="F12" s="6">
        <v>9.3000000000000007</v>
      </c>
      <c r="G12" s="6">
        <v>17.420000000000002</v>
      </c>
      <c r="H12" s="6">
        <v>8.6839999999999993</v>
      </c>
      <c r="I12" s="6">
        <v>-0.2</v>
      </c>
      <c r="J12" s="8">
        <v>43755.38</v>
      </c>
      <c r="K12" s="6">
        <v>7.4144938465813706</v>
      </c>
    </row>
    <row r="13" spans="1:11" x14ac:dyDescent="0.25">
      <c r="A13" s="5">
        <v>2021</v>
      </c>
      <c r="B13" s="6">
        <v>6.51</v>
      </c>
      <c r="C13" s="6">
        <v>9.4963999999999995</v>
      </c>
      <c r="D13" s="6">
        <v>15.75</v>
      </c>
      <c r="E13" s="6">
        <v>162.91</v>
      </c>
      <c r="F13" s="6">
        <v>9.0500000000000007</v>
      </c>
      <c r="G13" s="6">
        <v>17.98</v>
      </c>
      <c r="H13" s="6">
        <v>8.9844000000000008</v>
      </c>
      <c r="I13" s="6">
        <v>-3.5</v>
      </c>
      <c r="J13" s="8">
        <v>44596.07</v>
      </c>
      <c r="K13" s="6">
        <v>1.9213408728252499</v>
      </c>
    </row>
    <row r="14" spans="1:11" x14ac:dyDescent="0.25">
      <c r="A14" s="5">
        <v>2022</v>
      </c>
      <c r="B14" s="6">
        <v>4.78</v>
      </c>
      <c r="C14" s="6">
        <v>19.873899999999999</v>
      </c>
      <c r="D14" s="6">
        <v>22</v>
      </c>
      <c r="E14" s="6">
        <v>204.87</v>
      </c>
      <c r="F14" s="6">
        <v>10.54</v>
      </c>
      <c r="G14" s="6">
        <v>22.49</v>
      </c>
      <c r="H14" s="6">
        <v>8.0493000000000006</v>
      </c>
      <c r="I14" s="6">
        <v>-3.3</v>
      </c>
      <c r="J14" s="8">
        <v>40420.449999999997</v>
      </c>
      <c r="K14" s="6">
        <v>-9.3632017350407821</v>
      </c>
    </row>
    <row r="15" spans="1:11" x14ac:dyDescent="0.25">
      <c r="A15" s="5">
        <v>2023</v>
      </c>
      <c r="B15" s="6">
        <v>-0.41</v>
      </c>
      <c r="C15" s="6">
        <v>30.7681</v>
      </c>
      <c r="D15" s="6">
        <v>13</v>
      </c>
      <c r="E15" s="6">
        <v>280.36</v>
      </c>
      <c r="F15" s="6">
        <v>10.49</v>
      </c>
      <c r="G15" s="6">
        <v>17.97</v>
      </c>
      <c r="H15" s="6">
        <v>7.8880999999999997</v>
      </c>
      <c r="I15" s="6">
        <v>-0.3</v>
      </c>
      <c r="J15" s="8">
        <v>62451.040000000001</v>
      </c>
      <c r="K15" s="6">
        <v>54.50357430459087</v>
      </c>
    </row>
    <row r="16" spans="1:11" x14ac:dyDescent="0.25">
      <c r="A16" s="5">
        <v>2024</v>
      </c>
      <c r="B16" s="6">
        <v>3.05</v>
      </c>
      <c r="C16" s="6">
        <v>12.6325</v>
      </c>
      <c r="D16" s="6">
        <v>11</v>
      </c>
      <c r="E16" s="6">
        <v>278.58</v>
      </c>
      <c r="F16" s="6">
        <v>10.39</v>
      </c>
      <c r="G16" s="6">
        <v>17.18</v>
      </c>
      <c r="H16" s="6">
        <v>9.3963000000000001</v>
      </c>
      <c r="I16" s="6">
        <v>0.1</v>
      </c>
      <c r="J16" s="8">
        <v>115126.9</v>
      </c>
      <c r="K16" s="6">
        <v>84.347450418760019</v>
      </c>
    </row>
    <row r="17" spans="1:11" x14ac:dyDescent="0.25">
      <c r="A17" s="5">
        <v>2025</v>
      </c>
      <c r="B17" s="6">
        <v>3.7</v>
      </c>
      <c r="C17" s="6">
        <v>3.5455999999999999</v>
      </c>
      <c r="D17" s="6">
        <v>11</v>
      </c>
      <c r="E17" s="6">
        <v>281.14</v>
      </c>
      <c r="F17" s="6">
        <v>9.99</v>
      </c>
      <c r="G17" s="6">
        <v>17.21</v>
      </c>
      <c r="H17" s="6">
        <v>9.9</v>
      </c>
      <c r="I17" s="6">
        <v>-0.1</v>
      </c>
      <c r="J17" s="8">
        <v>174054.32</v>
      </c>
      <c r="K17" s="6">
        <v>51.184753519811622</v>
      </c>
    </row>
  </sheetData>
  <pageMargins left="0.75" right="0.75" top="1" bottom="1" header="0.5" footer="0.5"/>
  <pageSetup fitToHeight="0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1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9.5703125" bestFit="1" customWidth="1"/>
    <col min="2" max="2" width="20" customWidth="1"/>
    <col min="3" max="3" width="16.5703125" bestFit="1" customWidth="1"/>
    <col min="4" max="4" width="23" bestFit="1" customWidth="1"/>
    <col min="5" max="5" width="17.28515625" bestFit="1" customWidth="1"/>
    <col min="6" max="6" width="23.28515625" bestFit="1" customWidth="1"/>
    <col min="7" max="7" width="20" customWidth="1"/>
    <col min="8" max="8" width="20.28515625" bestFit="1" customWidth="1"/>
    <col min="9" max="9" width="26" bestFit="1" customWidth="1"/>
    <col min="10" max="10" width="24.5703125" bestFit="1" customWidth="1"/>
    <col min="11" max="11" width="28" bestFit="1" customWidth="1"/>
    <col min="12" max="12" width="28.85546875" bestFit="1" customWidth="1"/>
    <col min="13" max="13" width="20" customWidth="1"/>
  </cols>
  <sheetData>
    <row r="1" spans="1:13" x14ac:dyDescent="0.25">
      <c r="A1" s="3" t="s">
        <v>78</v>
      </c>
      <c r="B1" s="3" t="s">
        <v>79</v>
      </c>
      <c r="C1" s="3" t="s">
        <v>89</v>
      </c>
      <c r="D1" s="3" t="s">
        <v>81</v>
      </c>
      <c r="E1" s="3" t="s">
        <v>82</v>
      </c>
      <c r="F1" s="3" t="s">
        <v>90</v>
      </c>
      <c r="G1" s="3" t="s">
        <v>83</v>
      </c>
      <c r="H1" s="3" t="s">
        <v>84</v>
      </c>
      <c r="I1" s="3" t="s">
        <v>91</v>
      </c>
      <c r="J1" s="3" t="s">
        <v>85</v>
      </c>
      <c r="K1" s="3" t="s">
        <v>86</v>
      </c>
      <c r="L1" s="3" t="s">
        <v>92</v>
      </c>
      <c r="M1" s="3" t="s">
        <v>88</v>
      </c>
    </row>
    <row r="2" spans="1:13" x14ac:dyDescent="0.25">
      <c r="A2" s="5">
        <v>2010</v>
      </c>
      <c r="B2" s="6">
        <f>'02_Raw Data'!B2</f>
        <v>1.5</v>
      </c>
      <c r="C2" s="6">
        <f>'02_Raw Data'!C2</f>
        <v>12.9389</v>
      </c>
      <c r="D2" s="6">
        <f>'02_Raw Data'!D2</f>
        <v>0</v>
      </c>
      <c r="E2" s="6">
        <f>'02_Raw Data'!E2</f>
        <v>85.19</v>
      </c>
      <c r="F2" s="6"/>
      <c r="G2" s="6">
        <f>'02_Raw Data'!F2</f>
        <v>12.64</v>
      </c>
      <c r="H2" s="6">
        <f>'02_Raw Data'!G2</f>
        <v>19.350000000000001</v>
      </c>
      <c r="I2" s="6">
        <f t="shared" ref="I2:I17" si="0">G2-H2</f>
        <v>-6.7100000000000009</v>
      </c>
      <c r="J2" s="6">
        <f>'02_Raw Data'!H2</f>
        <v>4.9260000000000002</v>
      </c>
      <c r="K2" s="6">
        <f>'02_Raw Data'!I2</f>
        <v>-0.7</v>
      </c>
      <c r="L2" s="6">
        <f t="shared" ref="L2:L17" si="1">IF(D2="","",D2-C2)</f>
        <v>-12.9389</v>
      </c>
      <c r="M2" s="6">
        <f>'02_Raw Data'!K2</f>
        <v>0</v>
      </c>
    </row>
    <row r="3" spans="1:13" x14ac:dyDescent="0.25">
      <c r="A3" s="5">
        <v>2011</v>
      </c>
      <c r="B3" s="6">
        <f>'02_Raw Data'!B3</f>
        <v>2.68</v>
      </c>
      <c r="C3" s="6">
        <f>'02_Raw Data'!C3</f>
        <v>11.9161</v>
      </c>
      <c r="D3" s="6">
        <f>'02_Raw Data'!D3</f>
        <v>0</v>
      </c>
      <c r="E3" s="6">
        <f>'02_Raw Data'!E3</f>
        <v>86.34</v>
      </c>
      <c r="F3" s="6">
        <f t="shared" ref="F3:F17" si="2">(E3/E2-1)*100</f>
        <v>1.3499236999647835</v>
      </c>
      <c r="G3" s="6">
        <f>'02_Raw Data'!F3</f>
        <v>13.48</v>
      </c>
      <c r="H3" s="6">
        <f>'02_Raw Data'!G3</f>
        <v>18.88</v>
      </c>
      <c r="I3" s="6">
        <f t="shared" si="0"/>
        <v>-5.3999999999999986</v>
      </c>
      <c r="J3" s="6">
        <f>'02_Raw Data'!H3</f>
        <v>5.3182</v>
      </c>
      <c r="K3" s="6">
        <f>'02_Raw Data'!I3</f>
        <v>-1</v>
      </c>
      <c r="L3" s="6">
        <f t="shared" si="1"/>
        <v>-11.9161</v>
      </c>
      <c r="M3" s="6">
        <f>'02_Raw Data'!K3</f>
        <v>-5.6128279902781912</v>
      </c>
    </row>
    <row r="4" spans="1:13" x14ac:dyDescent="0.25">
      <c r="A4" s="5">
        <v>2012</v>
      </c>
      <c r="B4" s="6">
        <f>'02_Raw Data'!B4</f>
        <v>3.03</v>
      </c>
      <c r="C4" s="6">
        <f>'02_Raw Data'!C4</f>
        <v>9.6823999999999995</v>
      </c>
      <c r="D4" s="6">
        <f>'02_Raw Data'!D4</f>
        <v>0</v>
      </c>
      <c r="E4" s="6">
        <f>'02_Raw Data'!E4</f>
        <v>93.4</v>
      </c>
      <c r="F4" s="6">
        <f t="shared" si="2"/>
        <v>8.1769747509844883</v>
      </c>
      <c r="G4" s="6">
        <f>'02_Raw Data'!F4</f>
        <v>11.87</v>
      </c>
      <c r="H4" s="6">
        <f>'02_Raw Data'!G4</f>
        <v>19.45</v>
      </c>
      <c r="I4" s="6">
        <f t="shared" si="0"/>
        <v>-7.58</v>
      </c>
      <c r="J4" s="6">
        <f>'02_Raw Data'!H4</f>
        <v>5.6003999999999996</v>
      </c>
      <c r="K4" s="6">
        <f>'02_Raw Data'!I4</f>
        <v>-0.9</v>
      </c>
      <c r="L4" s="6">
        <f t="shared" si="1"/>
        <v>-9.6823999999999995</v>
      </c>
      <c r="M4" s="6">
        <f>'02_Raw Data'!K4</f>
        <v>48.976352833976357</v>
      </c>
    </row>
    <row r="5" spans="1:13" x14ac:dyDescent="0.25">
      <c r="A5" s="5">
        <v>2013</v>
      </c>
      <c r="B5" s="6">
        <f>'02_Raw Data'!B5</f>
        <v>4.37</v>
      </c>
      <c r="C5" s="6">
        <f>'02_Raw Data'!C5</f>
        <v>7.6921999999999997</v>
      </c>
      <c r="D5" s="6">
        <f>'02_Raw Data'!D5</f>
        <v>0</v>
      </c>
      <c r="E5" s="6">
        <f>'02_Raw Data'!E5</f>
        <v>101.63</v>
      </c>
      <c r="F5" s="6">
        <f t="shared" si="2"/>
        <v>8.8115631691648701</v>
      </c>
      <c r="G5" s="6">
        <f>'02_Raw Data'!F5</f>
        <v>12.18</v>
      </c>
      <c r="H5" s="6">
        <f>'02_Raw Data'!G5</f>
        <v>18.71</v>
      </c>
      <c r="I5" s="6">
        <f t="shared" si="0"/>
        <v>-6.5300000000000011</v>
      </c>
      <c r="J5" s="6">
        <f>'02_Raw Data'!H5</f>
        <v>5.6557000000000004</v>
      </c>
      <c r="K5" s="6">
        <f>'02_Raw Data'!I5</f>
        <v>-1.7</v>
      </c>
      <c r="L5" s="6">
        <f t="shared" si="1"/>
        <v>-7.6921999999999997</v>
      </c>
      <c r="M5" s="6">
        <f>'02_Raw Data'!K5</f>
        <v>49.427074183112651</v>
      </c>
    </row>
    <row r="6" spans="1:13" x14ac:dyDescent="0.25">
      <c r="A6" s="5">
        <v>2014</v>
      </c>
      <c r="B6" s="6">
        <f>'02_Raw Data'!B6</f>
        <v>4.12</v>
      </c>
      <c r="C6" s="6">
        <f>'02_Raw Data'!C6</f>
        <v>7.1894</v>
      </c>
      <c r="D6" s="6">
        <f>'02_Raw Data'!D6</f>
        <v>6.5</v>
      </c>
      <c r="E6" s="6">
        <f>'02_Raw Data'!E6</f>
        <v>101.1</v>
      </c>
      <c r="F6" s="6">
        <f t="shared" si="2"/>
        <v>-0.52149955721735308</v>
      </c>
      <c r="G6" s="6">
        <f>'02_Raw Data'!F6</f>
        <v>11.19</v>
      </c>
      <c r="H6" s="6">
        <f>'02_Raw Data'!G6</f>
        <v>18.27</v>
      </c>
      <c r="I6" s="6">
        <f t="shared" si="0"/>
        <v>-7.08</v>
      </c>
      <c r="J6" s="6">
        <f>'02_Raw Data'!H6</f>
        <v>6.3539000000000003</v>
      </c>
      <c r="K6" s="6">
        <f>'02_Raw Data'!I6</f>
        <v>-1.3</v>
      </c>
      <c r="L6" s="6">
        <f t="shared" si="1"/>
        <v>-0.68940000000000001</v>
      </c>
      <c r="M6" s="6">
        <f>'02_Raw Data'!K6</f>
        <v>27.196476485225919</v>
      </c>
    </row>
    <row r="7" spans="1:13" x14ac:dyDescent="0.25">
      <c r="A7" s="5">
        <v>2015</v>
      </c>
      <c r="B7" s="6">
        <f>'02_Raw Data'!B7</f>
        <v>4.22</v>
      </c>
      <c r="C7" s="6">
        <f>'02_Raw Data'!C7</f>
        <v>2.5293000000000001</v>
      </c>
      <c r="D7" s="6">
        <f>'02_Raw Data'!D7</f>
        <v>5.75</v>
      </c>
      <c r="E7" s="6">
        <f>'02_Raw Data'!E7</f>
        <v>102.77</v>
      </c>
      <c r="F7" s="6">
        <f t="shared" si="2"/>
        <v>1.6518298714144342</v>
      </c>
      <c r="G7" s="6">
        <f>'02_Raw Data'!F7</f>
        <v>9.9700000000000006</v>
      </c>
      <c r="H7" s="6">
        <f>'02_Raw Data'!G7</f>
        <v>16.71</v>
      </c>
      <c r="I7" s="6">
        <f t="shared" si="0"/>
        <v>-6.74</v>
      </c>
      <c r="J7" s="6">
        <f>'02_Raw Data'!H7</f>
        <v>6.4360999999999997</v>
      </c>
      <c r="K7" s="6">
        <f>'02_Raw Data'!I7</f>
        <v>-0.9</v>
      </c>
      <c r="L7" s="6">
        <f t="shared" si="1"/>
        <v>3.2206999999999999</v>
      </c>
      <c r="M7" s="6">
        <f>'02_Raw Data'!K7</f>
        <v>2.131972333501797</v>
      </c>
    </row>
    <row r="8" spans="1:13" x14ac:dyDescent="0.25">
      <c r="A8" s="5">
        <v>2016</v>
      </c>
      <c r="B8" s="6">
        <f>'02_Raw Data'!B8</f>
        <v>6.57</v>
      </c>
      <c r="C8" s="6">
        <f>'02_Raw Data'!C8</f>
        <v>3.7650999999999999</v>
      </c>
      <c r="D8" s="6">
        <f>'02_Raw Data'!D8</f>
        <v>6</v>
      </c>
      <c r="E8" s="6">
        <f>'02_Raw Data'!E8</f>
        <v>104.77</v>
      </c>
      <c r="F8" s="6">
        <f t="shared" si="2"/>
        <v>1.9460932178651413</v>
      </c>
      <c r="G8" s="6">
        <f>'02_Raw Data'!F8</f>
        <v>8.74</v>
      </c>
      <c r="H8" s="6">
        <f>'02_Raw Data'!G8</f>
        <v>15.96</v>
      </c>
      <c r="I8" s="6">
        <f t="shared" si="0"/>
        <v>-7.2200000000000006</v>
      </c>
      <c r="J8" s="6">
        <f>'02_Raw Data'!H8</f>
        <v>6.3192000000000004</v>
      </c>
      <c r="K8" s="6">
        <f>'02_Raw Data'!I8</f>
        <v>-2.2999999999999998</v>
      </c>
      <c r="L8" s="6">
        <f t="shared" si="1"/>
        <v>2.2349000000000001</v>
      </c>
      <c r="M8" s="6">
        <f>'02_Raw Data'!K8</f>
        <v>45.680516791802631</v>
      </c>
    </row>
    <row r="9" spans="1:13" x14ac:dyDescent="0.25">
      <c r="A9" s="5">
        <v>2017</v>
      </c>
      <c r="B9" s="6">
        <f>'02_Raw Data'!B9</f>
        <v>4.43</v>
      </c>
      <c r="C9" s="6">
        <f>'02_Raw Data'!C9</f>
        <v>4.0853999999999999</v>
      </c>
      <c r="D9" s="6">
        <f>'02_Raw Data'!D9</f>
        <v>10</v>
      </c>
      <c r="E9" s="6">
        <f>'02_Raw Data'!E9</f>
        <v>105.46</v>
      </c>
      <c r="F9" s="6">
        <f t="shared" si="2"/>
        <v>0.65858547294073144</v>
      </c>
      <c r="G9" s="6">
        <f>'02_Raw Data'!F9</f>
        <v>8.2200000000000006</v>
      </c>
      <c r="H9" s="6">
        <f>'02_Raw Data'!G9</f>
        <v>17.25</v>
      </c>
      <c r="I9" s="6">
        <f t="shared" si="0"/>
        <v>-9.0299999999999994</v>
      </c>
      <c r="J9" s="6">
        <f>'02_Raw Data'!H9</f>
        <v>5.8536999999999999</v>
      </c>
      <c r="K9" s="6">
        <f>'02_Raw Data'!I9</f>
        <v>-4.8</v>
      </c>
      <c r="L9" s="6">
        <f t="shared" si="1"/>
        <v>5.9146000000000001</v>
      </c>
      <c r="M9" s="6">
        <f>'02_Raw Data'!K9</f>
        <v>-15.34397599345869</v>
      </c>
    </row>
    <row r="10" spans="1:13" x14ac:dyDescent="0.25">
      <c r="A10" s="5">
        <v>2018</v>
      </c>
      <c r="B10" s="6">
        <f>'02_Raw Data'!B10</f>
        <v>6.15</v>
      </c>
      <c r="C10" s="6">
        <f>'02_Raw Data'!C10</f>
        <v>5.0781000000000001</v>
      </c>
      <c r="D10" s="6">
        <f>'02_Raw Data'!D10</f>
        <v>13.25</v>
      </c>
      <c r="E10" s="6">
        <f>'02_Raw Data'!E10</f>
        <v>121.82</v>
      </c>
      <c r="F10" s="6">
        <f t="shared" si="2"/>
        <v>15.512990707377195</v>
      </c>
      <c r="G10" s="6">
        <f>'02_Raw Data'!F10</f>
        <v>8.58</v>
      </c>
      <c r="H10" s="6">
        <f>'02_Raw Data'!G10</f>
        <v>19.04</v>
      </c>
      <c r="I10" s="6">
        <f t="shared" si="0"/>
        <v>-10.459999999999999</v>
      </c>
      <c r="J10" s="6">
        <f>'02_Raw Data'!H10</f>
        <v>5.9508999999999999</v>
      </c>
      <c r="K10" s="6">
        <f>'02_Raw Data'!I10</f>
        <v>-5.3</v>
      </c>
      <c r="L10" s="6">
        <f t="shared" si="1"/>
        <v>8.1719000000000008</v>
      </c>
      <c r="M10" s="6">
        <f>'02_Raw Data'!K10</f>
        <v>-8.4128625886673909</v>
      </c>
    </row>
    <row r="11" spans="1:13" x14ac:dyDescent="0.25">
      <c r="A11" s="5">
        <v>2019</v>
      </c>
      <c r="B11" s="6">
        <f>'02_Raw Data'!B11</f>
        <v>2.5</v>
      </c>
      <c r="C11" s="6">
        <f>'02_Raw Data'!C11</f>
        <v>10.577999999999999</v>
      </c>
      <c r="D11" s="6">
        <f>'02_Raw Data'!D11</f>
        <v>7</v>
      </c>
      <c r="E11" s="6">
        <f>'02_Raw Data'!E11</f>
        <v>150.04</v>
      </c>
      <c r="F11" s="6">
        <f t="shared" si="2"/>
        <v>23.165325890658337</v>
      </c>
      <c r="G11" s="6">
        <f>'02_Raw Data'!F11</f>
        <v>9.39</v>
      </c>
      <c r="H11" s="6">
        <f>'02_Raw Data'!G11</f>
        <v>19.510000000000002</v>
      </c>
      <c r="I11" s="6">
        <f t="shared" si="0"/>
        <v>-10.120000000000001</v>
      </c>
      <c r="J11" s="6">
        <f>'02_Raw Data'!H11</f>
        <v>6.9340000000000002</v>
      </c>
      <c r="K11" s="6">
        <f>'02_Raw Data'!I11</f>
        <v>-2.7</v>
      </c>
      <c r="L11" s="6">
        <f t="shared" si="1"/>
        <v>-3.5779999999999994</v>
      </c>
      <c r="M11" s="6">
        <f>'02_Raw Data'!K11</f>
        <v>9.8967886783463577</v>
      </c>
    </row>
    <row r="12" spans="1:13" x14ac:dyDescent="0.25">
      <c r="A12" s="5">
        <v>2020</v>
      </c>
      <c r="B12" s="6">
        <f>'02_Raw Data'!B12</f>
        <v>-1.27</v>
      </c>
      <c r="C12" s="6">
        <f>'02_Raw Data'!C12</f>
        <v>9.7401</v>
      </c>
      <c r="D12" s="6">
        <f>'02_Raw Data'!D12</f>
        <v>7</v>
      </c>
      <c r="E12" s="6">
        <f>'02_Raw Data'!E12</f>
        <v>161.84</v>
      </c>
      <c r="F12" s="6">
        <f t="shared" si="2"/>
        <v>7.864569448147174</v>
      </c>
      <c r="G12" s="6">
        <f>'02_Raw Data'!F12</f>
        <v>9.3000000000000007</v>
      </c>
      <c r="H12" s="6">
        <f>'02_Raw Data'!G12</f>
        <v>17.420000000000002</v>
      </c>
      <c r="I12" s="6">
        <f t="shared" si="0"/>
        <v>-8.120000000000001</v>
      </c>
      <c r="J12" s="6">
        <f>'02_Raw Data'!H12</f>
        <v>8.6839999999999993</v>
      </c>
      <c r="K12" s="6">
        <f>'02_Raw Data'!I12</f>
        <v>-0.2</v>
      </c>
      <c r="L12" s="6">
        <f t="shared" si="1"/>
        <v>-2.7401</v>
      </c>
      <c r="M12" s="6">
        <f>'02_Raw Data'!K12</f>
        <v>7.4144938465813706</v>
      </c>
    </row>
    <row r="13" spans="1:13" x14ac:dyDescent="0.25">
      <c r="A13" s="5">
        <v>2021</v>
      </c>
      <c r="B13" s="6">
        <f>'02_Raw Data'!B13</f>
        <v>6.51</v>
      </c>
      <c r="C13" s="6">
        <f>'02_Raw Data'!C13</f>
        <v>9.4963999999999995</v>
      </c>
      <c r="D13" s="6">
        <f>'02_Raw Data'!D13</f>
        <v>15.75</v>
      </c>
      <c r="E13" s="6">
        <f>'02_Raw Data'!E13</f>
        <v>162.91</v>
      </c>
      <c r="F13" s="6">
        <f t="shared" si="2"/>
        <v>0.66114681166584699</v>
      </c>
      <c r="G13" s="6">
        <f>'02_Raw Data'!F13</f>
        <v>9.0500000000000007</v>
      </c>
      <c r="H13" s="6">
        <f>'02_Raw Data'!G13</f>
        <v>17.98</v>
      </c>
      <c r="I13" s="6">
        <f t="shared" si="0"/>
        <v>-8.93</v>
      </c>
      <c r="J13" s="6">
        <f>'02_Raw Data'!H13</f>
        <v>8.9844000000000008</v>
      </c>
      <c r="K13" s="6">
        <f>'02_Raw Data'!I13</f>
        <v>-3.5</v>
      </c>
      <c r="L13" s="6">
        <f t="shared" si="1"/>
        <v>6.2536000000000005</v>
      </c>
      <c r="M13" s="6">
        <f>'02_Raw Data'!K13</f>
        <v>1.9213408728252499</v>
      </c>
    </row>
    <row r="14" spans="1:13" x14ac:dyDescent="0.25">
      <c r="A14" s="5">
        <v>2022</v>
      </c>
      <c r="B14" s="6">
        <f>'02_Raw Data'!B14</f>
        <v>4.78</v>
      </c>
      <c r="C14" s="6">
        <f>'02_Raw Data'!C14</f>
        <v>19.873899999999999</v>
      </c>
      <c r="D14" s="6">
        <f>'02_Raw Data'!D14</f>
        <v>22</v>
      </c>
      <c r="E14" s="6">
        <f>'02_Raw Data'!E14</f>
        <v>204.87</v>
      </c>
      <c r="F14" s="6">
        <f t="shared" si="2"/>
        <v>25.756552697808608</v>
      </c>
      <c r="G14" s="6">
        <f>'02_Raw Data'!F14</f>
        <v>10.54</v>
      </c>
      <c r="H14" s="6">
        <f>'02_Raw Data'!G14</f>
        <v>22.49</v>
      </c>
      <c r="I14" s="6">
        <f t="shared" si="0"/>
        <v>-11.95</v>
      </c>
      <c r="J14" s="6">
        <f>'02_Raw Data'!H14</f>
        <v>8.0493000000000006</v>
      </c>
      <c r="K14" s="6">
        <f>'02_Raw Data'!I14</f>
        <v>-3.3</v>
      </c>
      <c r="L14" s="6">
        <f t="shared" si="1"/>
        <v>2.126100000000001</v>
      </c>
      <c r="M14" s="6">
        <f>'02_Raw Data'!K14</f>
        <v>-9.3632017350407821</v>
      </c>
    </row>
    <row r="15" spans="1:13" x14ac:dyDescent="0.25">
      <c r="A15" s="5">
        <v>2023</v>
      </c>
      <c r="B15" s="6">
        <f>'02_Raw Data'!B15</f>
        <v>-0.41</v>
      </c>
      <c r="C15" s="6">
        <f>'02_Raw Data'!C15</f>
        <v>30.7681</v>
      </c>
      <c r="D15" s="6">
        <f>'02_Raw Data'!D15</f>
        <v>13</v>
      </c>
      <c r="E15" s="6">
        <f>'02_Raw Data'!E15</f>
        <v>280.36</v>
      </c>
      <c r="F15" s="6">
        <f t="shared" si="2"/>
        <v>36.847757114267601</v>
      </c>
      <c r="G15" s="6">
        <f>'02_Raw Data'!F15</f>
        <v>10.49</v>
      </c>
      <c r="H15" s="6">
        <f>'02_Raw Data'!G15</f>
        <v>17.97</v>
      </c>
      <c r="I15" s="6">
        <f t="shared" si="0"/>
        <v>-7.4799999999999986</v>
      </c>
      <c r="J15" s="6">
        <f>'02_Raw Data'!H15</f>
        <v>7.8880999999999997</v>
      </c>
      <c r="K15" s="6">
        <f>'02_Raw Data'!I15</f>
        <v>-0.3</v>
      </c>
      <c r="L15" s="6">
        <f t="shared" si="1"/>
        <v>-17.7681</v>
      </c>
      <c r="M15" s="6">
        <f>'02_Raw Data'!K15</f>
        <v>54.50357430459087</v>
      </c>
    </row>
    <row r="16" spans="1:13" x14ac:dyDescent="0.25">
      <c r="A16" s="5">
        <v>2024</v>
      </c>
      <c r="B16" s="6">
        <f>'02_Raw Data'!B16</f>
        <v>3.05</v>
      </c>
      <c r="C16" s="6">
        <f>'02_Raw Data'!C16</f>
        <v>12.6325</v>
      </c>
      <c r="D16" s="6">
        <f>'02_Raw Data'!D16</f>
        <v>11</v>
      </c>
      <c r="E16" s="6">
        <f>'02_Raw Data'!E16</f>
        <v>278.58</v>
      </c>
      <c r="F16" s="6">
        <f t="shared" si="2"/>
        <v>-0.63489798830076438</v>
      </c>
      <c r="G16" s="6">
        <f>'02_Raw Data'!F16</f>
        <v>10.39</v>
      </c>
      <c r="H16" s="6">
        <f>'02_Raw Data'!G16</f>
        <v>17.18</v>
      </c>
      <c r="I16" s="6">
        <f t="shared" si="0"/>
        <v>-6.7899999999999991</v>
      </c>
      <c r="J16" s="6">
        <f>'02_Raw Data'!H16</f>
        <v>9.3963000000000001</v>
      </c>
      <c r="K16" s="6">
        <f>'02_Raw Data'!I16</f>
        <v>0.1</v>
      </c>
      <c r="L16" s="6">
        <f t="shared" si="1"/>
        <v>-1.6325000000000003</v>
      </c>
      <c r="M16" s="6">
        <f>'02_Raw Data'!K16</f>
        <v>84.347450418760019</v>
      </c>
    </row>
    <row r="17" spans="1:13" x14ac:dyDescent="0.25">
      <c r="A17" s="5">
        <v>2025</v>
      </c>
      <c r="B17" s="6">
        <f>'02_Raw Data'!B17</f>
        <v>3.7</v>
      </c>
      <c r="C17" s="6">
        <f>'02_Raw Data'!C17</f>
        <v>3.5455999999999999</v>
      </c>
      <c r="D17" s="6">
        <f>'02_Raw Data'!D17</f>
        <v>11</v>
      </c>
      <c r="E17" s="6">
        <f>'02_Raw Data'!E17</f>
        <v>281.14</v>
      </c>
      <c r="F17" s="6">
        <f t="shared" si="2"/>
        <v>0.918946083710237</v>
      </c>
      <c r="G17" s="6">
        <f>'02_Raw Data'!F17</f>
        <v>9.99</v>
      </c>
      <c r="H17" s="6">
        <f>'02_Raw Data'!G17</f>
        <v>17.21</v>
      </c>
      <c r="I17" s="6">
        <f t="shared" si="0"/>
        <v>-7.2200000000000006</v>
      </c>
      <c r="J17" s="6">
        <f>'02_Raw Data'!H17</f>
        <v>9.9</v>
      </c>
      <c r="K17" s="6">
        <f>'02_Raw Data'!I17</f>
        <v>-0.1</v>
      </c>
      <c r="L17" s="6">
        <f t="shared" si="1"/>
        <v>7.4543999999999997</v>
      </c>
      <c r="M17" s="6">
        <f>'02_Raw Data'!K17</f>
        <v>51.184753519811622</v>
      </c>
    </row>
  </sheetData>
  <pageMargins left="0.75" right="0.75" top="1" bottom="1" header="0.5" footer="0.5"/>
  <pageSetup fitToHeight="0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6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J1"/>
    </sheetView>
  </sheetViews>
  <sheetFormatPr defaultRowHeight="15" x14ac:dyDescent="0.25"/>
  <cols>
    <col min="1" max="1" width="18.42578125" bestFit="1" customWidth="1"/>
    <col min="2" max="2" width="19" customWidth="1"/>
    <col min="3" max="3" width="8.5703125" bestFit="1" customWidth="1"/>
    <col min="4" max="4" width="10.7109375" bestFit="1" customWidth="1"/>
    <col min="5" max="5" width="15.140625" bestFit="1" customWidth="1"/>
    <col min="6" max="6" width="14" bestFit="1" customWidth="1"/>
    <col min="7" max="7" width="14.28515625" bestFit="1" customWidth="1"/>
    <col min="8" max="8" width="13.42578125" bestFit="1" customWidth="1"/>
    <col min="9" max="9" width="15.42578125" bestFit="1" customWidth="1"/>
    <col min="10" max="10" width="10.5703125" bestFit="1" customWidth="1"/>
  </cols>
  <sheetData>
    <row r="1" spans="1:10" ht="21" x14ac:dyDescent="0.35">
      <c r="A1" s="18" t="s">
        <v>93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x14ac:dyDescent="0.25">
      <c r="A3" s="9" t="s">
        <v>94</v>
      </c>
      <c r="B3" s="9" t="s">
        <v>95</v>
      </c>
      <c r="C3" s="9" t="s">
        <v>96</v>
      </c>
      <c r="D3" s="9" t="s">
        <v>97</v>
      </c>
      <c r="E3" s="9" t="s">
        <v>98</v>
      </c>
      <c r="F3" s="9" t="s">
        <v>99</v>
      </c>
      <c r="G3" s="9" t="s">
        <v>100</v>
      </c>
      <c r="H3" s="9" t="s">
        <v>101</v>
      </c>
      <c r="I3" s="9" t="s">
        <v>102</v>
      </c>
      <c r="J3" s="9" t="s">
        <v>103</v>
      </c>
    </row>
    <row r="4" spans="1:10" x14ac:dyDescent="0.25">
      <c r="A4" s="10" t="s">
        <v>95</v>
      </c>
      <c r="B4" s="6">
        <f>CORREL('03_Calculations'!B2:B17,'03_Calculations'!B2:B17)</f>
        <v>0.99999999999999978</v>
      </c>
      <c r="C4" s="6">
        <f>CORREL('03_Calculations'!B2:B17,'03_Calculations'!C2:C17)</f>
        <v>-0.53276499621223394</v>
      </c>
      <c r="D4" s="6">
        <f>CORREL('03_Calculations'!B2:B17,'03_Calculations'!D2:D17)</f>
        <v>0.25256659360063105</v>
      </c>
      <c r="E4" s="6">
        <f>CORREL('03_Calculations'!B2:B17,'03_Calculations'!F2:F17)</f>
        <v>-0.37626952254080592</v>
      </c>
      <c r="F4" s="6">
        <f>CORREL('03_Calculations'!B2:B17,'03_Calculations'!G2:G17)</f>
        <v>-0.31107389554031606</v>
      </c>
      <c r="G4" s="6">
        <f>CORREL('03_Calculations'!B2:B17,'03_Calculations'!H2:H17)</f>
        <v>-2.2727872636476344E-2</v>
      </c>
      <c r="H4" s="6">
        <f>CORREL('03_Calculations'!B2:B17,'03_Calculations'!I2:I17)</f>
        <v>-0.25931915373723935</v>
      </c>
      <c r="I4" s="6">
        <f>CORREL('03_Calculations'!B2:B17,'03_Calculations'!K2:K17)</f>
        <v>-0.64238600022814707</v>
      </c>
      <c r="J4" s="6">
        <f>CORREL('03_Calculations'!B2:B17,'03_Calculations'!M2:M17)</f>
        <v>-0.14400250335549244</v>
      </c>
    </row>
    <row r="5" spans="1:10" x14ac:dyDescent="0.25">
      <c r="A5" s="10" t="s">
        <v>96</v>
      </c>
      <c r="B5" s="6">
        <f>CORREL('03_Calculations'!C2:C17,'03_Calculations'!B2:B17)</f>
        <v>-0.53276499621223394</v>
      </c>
      <c r="C5" s="6">
        <f>CORREL('03_Calculations'!C2:C17,'03_Calculations'!C2:C17)</f>
        <v>0.99999999999999989</v>
      </c>
      <c r="D5" s="6">
        <f>CORREL('03_Calculations'!C2:C17,'03_Calculations'!D2:D17)</f>
        <v>0.30314979391606695</v>
      </c>
      <c r="E5" s="6">
        <f>CORREL('03_Calculations'!C2:C17,'03_Calculations'!F2:F17)</f>
        <v>0.77461605024043967</v>
      </c>
      <c r="F5" s="6">
        <f>CORREL('03_Calculations'!C2:C17,'03_Calculations'!G2:G17)</f>
        <v>0.28819928489376195</v>
      </c>
      <c r="G5" s="6">
        <f>CORREL('03_Calculations'!C2:C17,'03_Calculations'!H2:H17)</f>
        <v>0.43995819910332523</v>
      </c>
      <c r="H5" s="6">
        <f>CORREL('03_Calculations'!C2:C17,'03_Calculations'!I2:I17)</f>
        <v>-0.13253483071978786</v>
      </c>
      <c r="I5" s="6">
        <f>CORREL('03_Calculations'!C2:C17,'03_Calculations'!K2:K17)</f>
        <v>0.24809936916181</v>
      </c>
      <c r="J5" s="6">
        <f>CORREL('03_Calculations'!C2:C17,'03_Calculations'!M2:M17)</f>
        <v>0.16100387877764086</v>
      </c>
    </row>
    <row r="6" spans="1:10" x14ac:dyDescent="0.25">
      <c r="A6" s="10" t="s">
        <v>97</v>
      </c>
      <c r="B6" s="6">
        <f>CORREL('03_Calculations'!D2:D17,'03_Calculations'!B2:B17)</f>
        <v>0.25256659360063105</v>
      </c>
      <c r="C6" s="6">
        <f>CORREL('03_Calculations'!D2:D17,'03_Calculations'!C2:C17)</f>
        <v>0.30314979391606695</v>
      </c>
      <c r="D6" s="6">
        <f>CORREL('03_Calculations'!D2:D17,'03_Calculations'!D2:D17)</f>
        <v>1</v>
      </c>
      <c r="E6" s="6">
        <f>CORREL('03_Calculations'!D2:D17,'03_Calculations'!F2:F17)</f>
        <v>0.37943085781968044</v>
      </c>
      <c r="F6" s="6">
        <f>CORREL('03_Calculations'!D2:D17,'03_Calculations'!G2:G17)</f>
        <v>-0.59151230906120267</v>
      </c>
      <c r="G6" s="6">
        <f>CORREL('03_Calculations'!D2:D17,'03_Calculations'!H2:H17)</f>
        <v>0.22168289809809152</v>
      </c>
      <c r="H6" s="6">
        <f>CORREL('03_Calculations'!D2:D17,'03_Calculations'!I2:I17)</f>
        <v>-0.72883749404001119</v>
      </c>
      <c r="I6" s="6">
        <f>CORREL('03_Calculations'!D2:D17,'03_Calculations'!K2:K17)</f>
        <v>-0.41290304247789877</v>
      </c>
      <c r="J6" s="6">
        <f>CORREL('03_Calculations'!D2:D17,'03_Calculations'!M2:M17)</f>
        <v>-0.14508358392158896</v>
      </c>
    </row>
    <row r="7" spans="1:10" x14ac:dyDescent="0.25">
      <c r="A7" s="10" t="s">
        <v>98</v>
      </c>
      <c r="B7" s="6">
        <f>CORREL('03_Calculations'!F2:F17,'03_Calculations'!B2:B17)</f>
        <v>-0.37626952254080592</v>
      </c>
      <c r="C7" s="6">
        <f>CORREL('03_Calculations'!F2:F17,'03_Calculations'!C2:C17)</f>
        <v>0.77461605024043967</v>
      </c>
      <c r="D7" s="6">
        <f>CORREL('03_Calculations'!F2:F17,'03_Calculations'!D2:D17)</f>
        <v>0.37943085781968044</v>
      </c>
      <c r="E7" s="6">
        <f>CORREL('03_Calculations'!F2:F17,'03_Calculations'!F2:F17)</f>
        <v>0.99999999999999989</v>
      </c>
      <c r="F7" s="6">
        <f>CORREL('03_Calculations'!F2:F17,'03_Calculations'!G2:G17)</f>
        <v>-2.3094014164174198E-2</v>
      </c>
      <c r="G7" s="6">
        <f>CORREL('03_Calculations'!F2:F17,'03_Calculations'!H2:H17)</f>
        <v>0.55050339657475222</v>
      </c>
      <c r="H7" s="6">
        <f>CORREL('03_Calculations'!F2:F17,'03_Calculations'!I2:I17)</f>
        <v>-0.51099182174572677</v>
      </c>
      <c r="I7" s="6">
        <f>CORREL('03_Calculations'!F2:F17,'03_Calculations'!K2:K17)</f>
        <v>-0.10330070240404463</v>
      </c>
      <c r="J7" s="6">
        <f>CORREL('03_Calculations'!F2:F17,'03_Calculations'!M2:M17)</f>
        <v>-4.3704866369302986E-2</v>
      </c>
    </row>
    <row r="8" spans="1:10" x14ac:dyDescent="0.25">
      <c r="A8" s="10" t="s">
        <v>99</v>
      </c>
      <c r="B8" s="6">
        <f>CORREL('03_Calculations'!G2:G17,'03_Calculations'!B2:B17)</f>
        <v>-0.31107389554031606</v>
      </c>
      <c r="C8" s="6">
        <f>CORREL('03_Calculations'!G2:G17,'03_Calculations'!C2:C17)</f>
        <v>0.28819928489376195</v>
      </c>
      <c r="D8" s="6">
        <f>CORREL('03_Calculations'!G2:G17,'03_Calculations'!D2:D17)</f>
        <v>-0.59151230906120267</v>
      </c>
      <c r="E8" s="6">
        <f>CORREL('03_Calculations'!G2:G17,'03_Calculations'!F2:F17)</f>
        <v>-2.3094014164174198E-2</v>
      </c>
      <c r="F8" s="6">
        <f>CORREL('03_Calculations'!G2:G17,'03_Calculations'!G2:G17)</f>
        <v>1</v>
      </c>
      <c r="G8" s="6">
        <f>CORREL('03_Calculations'!G2:G17,'03_Calculations'!H2:H17)</f>
        <v>0.37482404806901609</v>
      </c>
      <c r="H8" s="6">
        <f>CORREL('03_Calculations'!G2:G17,'03_Calculations'!I2:I17)</f>
        <v>0.56508476937511076</v>
      </c>
      <c r="I8" s="6">
        <f>CORREL('03_Calculations'!G2:G17,'03_Calculations'!K2:K17)</f>
        <v>0.53475178262507184</v>
      </c>
      <c r="J8" s="6">
        <f>CORREL('03_Calculations'!G2:G17,'03_Calculations'!M2:M17)</f>
        <v>0.15141629790741748</v>
      </c>
    </row>
    <row r="9" spans="1:10" x14ac:dyDescent="0.25">
      <c r="A9" s="10" t="s">
        <v>100</v>
      </c>
      <c r="B9" s="6">
        <f>CORREL('03_Calculations'!H2:H17,'03_Calculations'!B2:B17)</f>
        <v>-2.2727872636476344E-2</v>
      </c>
      <c r="C9" s="6">
        <f>CORREL('03_Calculations'!H2:H17,'03_Calculations'!C2:C17)</f>
        <v>0.43995819910332523</v>
      </c>
      <c r="D9" s="6">
        <f>CORREL('03_Calculations'!H2:H17,'03_Calculations'!D2:D17)</f>
        <v>0.22168289809809152</v>
      </c>
      <c r="E9" s="6">
        <f>CORREL('03_Calculations'!H2:H17,'03_Calculations'!F2:F17)</f>
        <v>0.55050339657475222</v>
      </c>
      <c r="F9" s="6">
        <f>CORREL('03_Calculations'!H2:H17,'03_Calculations'!G2:G17)</f>
        <v>0.37482404806901609</v>
      </c>
      <c r="G9" s="6">
        <f>CORREL('03_Calculations'!H2:H17,'03_Calculations'!H2:H17)</f>
        <v>1</v>
      </c>
      <c r="H9" s="6">
        <f>CORREL('03_Calculations'!H2:H17,'03_Calculations'!I2:I17)</f>
        <v>-0.55307726745676355</v>
      </c>
      <c r="I9" s="6">
        <f>CORREL('03_Calculations'!H2:H17,'03_Calculations'!K2:K17)</f>
        <v>-0.25230636868233464</v>
      </c>
      <c r="J9" s="6">
        <f>CORREL('03_Calculations'!H2:H17,'03_Calculations'!M2:M17)</f>
        <v>-0.35258247360746542</v>
      </c>
    </row>
    <row r="10" spans="1:10" x14ac:dyDescent="0.25">
      <c r="A10" s="10" t="s">
        <v>101</v>
      </c>
      <c r="B10" s="6">
        <f>CORREL('03_Calculations'!I2:I17,'03_Calculations'!B2:B17)</f>
        <v>-0.25931915373723935</v>
      </c>
      <c r="C10" s="6">
        <f>CORREL('03_Calculations'!I2:I17,'03_Calculations'!C2:C17)</f>
        <v>-0.13253483071978786</v>
      </c>
      <c r="D10" s="6">
        <f>CORREL('03_Calculations'!I2:I17,'03_Calculations'!D2:D17)</f>
        <v>-0.72883749404001119</v>
      </c>
      <c r="E10" s="6">
        <f>CORREL('03_Calculations'!I2:I17,'03_Calculations'!F2:F17)</f>
        <v>-0.51099182174572677</v>
      </c>
      <c r="F10" s="6">
        <f>CORREL('03_Calculations'!I2:I17,'03_Calculations'!G2:G17)</f>
        <v>0.56508476937511076</v>
      </c>
      <c r="G10" s="6">
        <f>CORREL('03_Calculations'!I2:I17,'03_Calculations'!H2:H17)</f>
        <v>-0.55307726745676355</v>
      </c>
      <c r="H10" s="6">
        <f>CORREL('03_Calculations'!I2:I17,'03_Calculations'!I2:I17)</f>
        <v>0.99999999999999989</v>
      </c>
      <c r="I10" s="6">
        <f>CORREL('03_Calculations'!I2:I17,'03_Calculations'!K2:K17)</f>
        <v>0.70508210421595019</v>
      </c>
      <c r="J10" s="6">
        <f>CORREL('03_Calculations'!I2:I17,'03_Calculations'!M2:M17)</f>
        <v>0.44983647044054259</v>
      </c>
    </row>
    <row r="11" spans="1:10" x14ac:dyDescent="0.25">
      <c r="A11" s="10" t="s">
        <v>102</v>
      </c>
      <c r="B11" s="6">
        <f>CORREL('03_Calculations'!K2:K17,'03_Calculations'!B2:B17)</f>
        <v>-0.64238600022814707</v>
      </c>
      <c r="C11" s="6">
        <f>CORREL('03_Calculations'!K2:K17,'03_Calculations'!C2:C17)</f>
        <v>0.24809936916181</v>
      </c>
      <c r="D11" s="6">
        <f>CORREL('03_Calculations'!K2:K17,'03_Calculations'!D2:D17)</f>
        <v>-0.41290304247789877</v>
      </c>
      <c r="E11" s="6">
        <f>CORREL('03_Calculations'!K2:K17,'03_Calculations'!F2:F17)</f>
        <v>-0.10330070240404463</v>
      </c>
      <c r="F11" s="6">
        <f>CORREL('03_Calculations'!K2:K17,'03_Calculations'!G2:G17)</f>
        <v>0.53475178262507184</v>
      </c>
      <c r="G11" s="6">
        <f>CORREL('03_Calculations'!K2:K17,'03_Calculations'!H2:H17)</f>
        <v>-0.25230636868233464</v>
      </c>
      <c r="H11" s="6">
        <f>CORREL('03_Calculations'!K2:K17,'03_Calculations'!I2:I17)</f>
        <v>0.70508210421595019</v>
      </c>
      <c r="I11" s="6">
        <f>CORREL('03_Calculations'!K2:K17,'03_Calculations'!K2:K17)</f>
        <v>1.0000000000000002</v>
      </c>
      <c r="J11" s="6">
        <f>CORREL('03_Calculations'!K2:K17,'03_Calculations'!M2:M17)</f>
        <v>0.60272720129769064</v>
      </c>
    </row>
    <row r="12" spans="1:10" x14ac:dyDescent="0.25">
      <c r="A12" s="10" t="s">
        <v>103</v>
      </c>
      <c r="B12" s="6">
        <f>CORREL('03_Calculations'!M2:M17,'03_Calculations'!B2:B17)</f>
        <v>-0.14400250335549244</v>
      </c>
      <c r="C12" s="6">
        <f>CORREL('03_Calculations'!M2:M17,'03_Calculations'!C2:C17)</f>
        <v>0.16100387877764086</v>
      </c>
      <c r="D12" s="6">
        <f>CORREL('03_Calculations'!M2:M17,'03_Calculations'!D2:D17)</f>
        <v>-0.14508358392158896</v>
      </c>
      <c r="E12" s="6">
        <f>CORREL('03_Calculations'!M2:M17,'03_Calculations'!F2:F17)</f>
        <v>-4.3704866369302986E-2</v>
      </c>
      <c r="F12" s="6">
        <f>CORREL('03_Calculations'!M2:M17,'03_Calculations'!G2:G17)</f>
        <v>0.15141629790741748</v>
      </c>
      <c r="G12" s="6">
        <f>CORREL('03_Calculations'!M2:M17,'03_Calculations'!H2:H17)</f>
        <v>-0.35258247360746542</v>
      </c>
      <c r="H12" s="6">
        <f>CORREL('03_Calculations'!M2:M17,'03_Calculations'!I2:I17)</f>
        <v>0.44983647044054259</v>
      </c>
      <c r="I12" s="6">
        <f>CORREL('03_Calculations'!M2:M17,'03_Calculations'!K2:K17)</f>
        <v>0.60272720129769064</v>
      </c>
      <c r="J12" s="6">
        <f>CORREL('03_Calculations'!M2:M17,'03_Calculations'!M2:M17)</f>
        <v>0.99999999999999989</v>
      </c>
    </row>
    <row r="14" spans="1:10" x14ac:dyDescent="0.25">
      <c r="A14" s="11" t="s">
        <v>104</v>
      </c>
    </row>
    <row r="15" spans="1:10" x14ac:dyDescent="0.25">
      <c r="A15" s="15" t="s">
        <v>105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0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</row>
  </sheetData>
  <mergeCells count="2">
    <mergeCell ref="A1:J1"/>
    <mergeCell ref="A15:J16"/>
  </mergeCells>
  <conditionalFormatting sqref="B4:J12">
    <cfRule type="colorScale" priority="1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8"/>
  <sheetViews>
    <sheetView showGridLines="0" workbookViewId="0">
      <pane ySplit="3" topLeftCell="A4" activePane="bottomLeft" state="frozen"/>
      <selection pane="bottomLeft" activeCell="M50" sqref="M50"/>
    </sheetView>
  </sheetViews>
  <sheetFormatPr defaultRowHeight="15" x14ac:dyDescent="0.25"/>
  <cols>
    <col min="1" max="1" width="30.7109375" bestFit="1" customWidth="1"/>
    <col min="2" max="2" width="5.5703125" bestFit="1" customWidth="1"/>
    <col min="3" max="6" width="6.5703125" bestFit="1" customWidth="1"/>
    <col min="7" max="7" width="18" customWidth="1"/>
    <col min="8" max="8" width="25.140625" bestFit="1" customWidth="1"/>
  </cols>
  <sheetData>
    <row r="1" spans="1:8" ht="21" x14ac:dyDescent="0.35">
      <c r="A1" s="18" t="s">
        <v>106</v>
      </c>
      <c r="B1" s="14"/>
      <c r="C1" s="14"/>
      <c r="D1" s="14"/>
      <c r="E1" s="14"/>
      <c r="F1" s="14"/>
      <c r="G1" s="14"/>
      <c r="H1" s="14"/>
    </row>
    <row r="3" spans="1:8" x14ac:dyDescent="0.25">
      <c r="A3" s="3" t="s">
        <v>107</v>
      </c>
      <c r="B3" s="3" t="s">
        <v>108</v>
      </c>
      <c r="C3" s="3" t="s">
        <v>109</v>
      </c>
      <c r="D3" s="3" t="s">
        <v>110</v>
      </c>
      <c r="E3" s="3" t="s">
        <v>111</v>
      </c>
      <c r="F3" s="3" t="s">
        <v>112</v>
      </c>
      <c r="G3" s="3" t="s">
        <v>113</v>
      </c>
      <c r="H3" s="3" t="s">
        <v>114</v>
      </c>
    </row>
    <row r="4" spans="1:8" x14ac:dyDescent="0.25">
      <c r="A4" s="12" t="s">
        <v>79</v>
      </c>
      <c r="B4" s="13">
        <f>'02_Raw Data'!B2</f>
        <v>1.5</v>
      </c>
      <c r="C4" s="13">
        <f>'02_Raw Data'!B7</f>
        <v>4.22</v>
      </c>
      <c r="D4" s="13">
        <f>'02_Raw Data'!B12</f>
        <v>-1.27</v>
      </c>
      <c r="E4" s="13">
        <f>'02_Raw Data'!B15</f>
        <v>-0.41</v>
      </c>
      <c r="F4" s="13">
        <f>'02_Raw Data'!B17</f>
        <v>3.7</v>
      </c>
      <c r="G4" s="13">
        <f t="shared" ref="G4:G10" si="0">F4-B4</f>
        <v>2.2000000000000002</v>
      </c>
      <c r="H4" s="12" t="s">
        <v>115</v>
      </c>
    </row>
    <row r="5" spans="1:8" x14ac:dyDescent="0.25">
      <c r="A5" s="12" t="s">
        <v>80</v>
      </c>
      <c r="B5" s="13">
        <f>'02_Raw Data'!C2</f>
        <v>12.9389</v>
      </c>
      <c r="C5" s="13">
        <f>'02_Raw Data'!C7</f>
        <v>2.5293000000000001</v>
      </c>
      <c r="D5" s="13">
        <f>'02_Raw Data'!C12</f>
        <v>9.7401</v>
      </c>
      <c r="E5" s="13">
        <f>'02_Raw Data'!C15</f>
        <v>30.7681</v>
      </c>
      <c r="F5" s="13">
        <f>'02_Raw Data'!C17</f>
        <v>3.5455999999999999</v>
      </c>
      <c r="G5" s="13">
        <f t="shared" si="0"/>
        <v>-9.3933</v>
      </c>
      <c r="H5" s="12" t="s">
        <v>116</v>
      </c>
    </row>
    <row r="6" spans="1:8" x14ac:dyDescent="0.25">
      <c r="A6" s="12" t="s">
        <v>82</v>
      </c>
      <c r="B6" s="13">
        <f>'02_Raw Data'!E2</f>
        <v>85.19</v>
      </c>
      <c r="C6" s="13">
        <f>'02_Raw Data'!E7</f>
        <v>102.77</v>
      </c>
      <c r="D6" s="13">
        <f>'02_Raw Data'!E12</f>
        <v>161.84</v>
      </c>
      <c r="E6" s="13">
        <f>'02_Raw Data'!E15</f>
        <v>280.36</v>
      </c>
      <c r="F6" s="13">
        <f>'02_Raw Data'!E17</f>
        <v>281.14</v>
      </c>
      <c r="G6" s="13">
        <f t="shared" si="0"/>
        <v>195.95</v>
      </c>
      <c r="H6" s="12" t="s">
        <v>117</v>
      </c>
    </row>
    <row r="7" spans="1:8" x14ac:dyDescent="0.25">
      <c r="A7" s="12" t="s">
        <v>83</v>
      </c>
      <c r="B7" s="13">
        <f>'02_Raw Data'!F2</f>
        <v>12.64</v>
      </c>
      <c r="C7" s="13">
        <f>'02_Raw Data'!F7</f>
        <v>9.9700000000000006</v>
      </c>
      <c r="D7" s="13">
        <f>'02_Raw Data'!F12</f>
        <v>9.3000000000000007</v>
      </c>
      <c r="E7" s="13">
        <f>'02_Raw Data'!F15</f>
        <v>10.49</v>
      </c>
      <c r="F7" s="13">
        <f>'02_Raw Data'!F17</f>
        <v>9.99</v>
      </c>
      <c r="G7" s="13">
        <f t="shared" si="0"/>
        <v>-2.6500000000000004</v>
      </c>
      <c r="H7" s="12" t="s">
        <v>118</v>
      </c>
    </row>
    <row r="8" spans="1:8" x14ac:dyDescent="0.25">
      <c r="A8" s="12" t="s">
        <v>84</v>
      </c>
      <c r="B8" s="13">
        <f>'02_Raw Data'!G2</f>
        <v>19.350000000000001</v>
      </c>
      <c r="C8" s="13">
        <f>'02_Raw Data'!G7</f>
        <v>16.71</v>
      </c>
      <c r="D8" s="13">
        <f>'02_Raw Data'!G12</f>
        <v>17.420000000000002</v>
      </c>
      <c r="E8" s="13">
        <f>'02_Raw Data'!G15</f>
        <v>17.97</v>
      </c>
      <c r="F8" s="13">
        <f>'02_Raw Data'!G17</f>
        <v>17.21</v>
      </c>
      <c r="G8" s="13">
        <f t="shared" si="0"/>
        <v>-2.1400000000000006</v>
      </c>
      <c r="H8" s="12" t="s">
        <v>119</v>
      </c>
    </row>
    <row r="9" spans="1:8" x14ac:dyDescent="0.25">
      <c r="A9" s="12" t="s">
        <v>85</v>
      </c>
      <c r="B9" s="13">
        <f>'02_Raw Data'!H2</f>
        <v>4.9260000000000002</v>
      </c>
      <c r="C9" s="13">
        <f>'02_Raw Data'!H7</f>
        <v>6.4360999999999997</v>
      </c>
      <c r="D9" s="13">
        <f>'02_Raw Data'!H12</f>
        <v>8.6839999999999993</v>
      </c>
      <c r="E9" s="13">
        <f>'02_Raw Data'!H15</f>
        <v>7.8880999999999997</v>
      </c>
      <c r="F9" s="13">
        <f>'02_Raw Data'!H17</f>
        <v>9.9</v>
      </c>
      <c r="G9" s="13">
        <f t="shared" si="0"/>
        <v>4.9740000000000002</v>
      </c>
      <c r="H9" s="12" t="s">
        <v>120</v>
      </c>
    </row>
    <row r="10" spans="1:8" x14ac:dyDescent="0.25">
      <c r="A10" s="12" t="s">
        <v>86</v>
      </c>
      <c r="B10" s="13">
        <f>'02_Raw Data'!I2</f>
        <v>-0.7</v>
      </c>
      <c r="C10" s="13">
        <f>'02_Raw Data'!I7</f>
        <v>-0.9</v>
      </c>
      <c r="D10" s="13">
        <f>'02_Raw Data'!I12</f>
        <v>-0.2</v>
      </c>
      <c r="E10" s="13">
        <f>'02_Raw Data'!I15</f>
        <v>-0.3</v>
      </c>
      <c r="F10" s="13">
        <f>'02_Raw Data'!I17</f>
        <v>-0.1</v>
      </c>
      <c r="G10" s="13">
        <f t="shared" si="0"/>
        <v>0.6</v>
      </c>
      <c r="H10" s="12" t="s">
        <v>121</v>
      </c>
    </row>
    <row r="13" spans="1:8" ht="15.75" x14ac:dyDescent="0.25">
      <c r="A13" s="1" t="s">
        <v>122</v>
      </c>
    </row>
    <row r="14" spans="1:8" x14ac:dyDescent="0.25">
      <c r="A14" s="15" t="s">
        <v>123</v>
      </c>
      <c r="B14" s="14"/>
      <c r="C14" s="14"/>
      <c r="D14" s="14"/>
      <c r="E14" s="14"/>
      <c r="F14" s="14"/>
      <c r="G14" s="14"/>
      <c r="H14" s="14"/>
    </row>
    <row r="15" spans="1:8" x14ac:dyDescent="0.25">
      <c r="A15" s="15" t="s">
        <v>124</v>
      </c>
      <c r="B15" s="14"/>
      <c r="C15" s="14"/>
      <c r="D15" s="14"/>
      <c r="E15" s="14"/>
      <c r="F15" s="14"/>
      <c r="G15" s="14"/>
      <c r="H15" s="14"/>
    </row>
    <row r="16" spans="1:8" x14ac:dyDescent="0.25">
      <c r="A16" s="15" t="s">
        <v>125</v>
      </c>
      <c r="B16" s="14"/>
      <c r="C16" s="14"/>
      <c r="D16" s="14"/>
      <c r="E16" s="14"/>
      <c r="F16" s="14"/>
      <c r="G16" s="14"/>
      <c r="H16" s="14"/>
    </row>
    <row r="17" spans="1:8" x14ac:dyDescent="0.25">
      <c r="A17" s="15" t="s">
        <v>126</v>
      </c>
      <c r="B17" s="14"/>
      <c r="C17" s="14"/>
      <c r="D17" s="14"/>
      <c r="E17" s="14"/>
      <c r="F17" s="14"/>
      <c r="G17" s="14"/>
      <c r="H17" s="14"/>
    </row>
    <row r="18" spans="1:8" x14ac:dyDescent="0.25">
      <c r="A18" s="15" t="s">
        <v>127</v>
      </c>
      <c r="B18" s="14"/>
      <c r="C18" s="14"/>
      <c r="D18" s="14"/>
      <c r="E18" s="14"/>
      <c r="F18" s="14"/>
      <c r="G18" s="14"/>
      <c r="H18" s="14"/>
    </row>
  </sheetData>
  <mergeCells count="6">
    <mergeCell ref="A18:H18"/>
    <mergeCell ref="A15:H15"/>
    <mergeCell ref="A16:H16"/>
    <mergeCell ref="A14:H14"/>
    <mergeCell ref="A1:H1"/>
    <mergeCell ref="A17:H17"/>
  </mergeCells>
  <pageMargins left="0.75" right="0.75" top="1" bottom="1" header="0.5" footer="0.5"/>
  <pageSetup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6"/>
  <sheetViews>
    <sheetView showGridLines="0" workbookViewId="0">
      <pane ySplit="3" topLeftCell="A16" activePane="bottomLeft" state="frozen"/>
      <selection pane="bottomLeft" activeCell="T11" sqref="T11"/>
    </sheetView>
  </sheetViews>
  <sheetFormatPr defaultRowHeight="15" x14ac:dyDescent="0.25"/>
  <cols>
    <col min="1" max="1" width="26.42578125" bestFit="1" customWidth="1"/>
    <col min="2" max="2" width="13.28515625" bestFit="1" customWidth="1"/>
    <col min="3" max="3" width="18" bestFit="1" customWidth="1"/>
    <col min="4" max="4" width="15.5703125" bestFit="1" customWidth="1"/>
    <col min="5" max="5" width="12" bestFit="1" customWidth="1"/>
    <col min="6" max="6" width="18.42578125" bestFit="1" customWidth="1"/>
    <col min="7" max="7" width="18.7109375" bestFit="1" customWidth="1"/>
    <col min="8" max="8" width="23.42578125" bestFit="1" customWidth="1"/>
  </cols>
  <sheetData>
    <row r="1" spans="1:8" ht="21" x14ac:dyDescent="0.35">
      <c r="A1" s="18" t="s">
        <v>128</v>
      </c>
      <c r="B1" s="14"/>
      <c r="C1" s="14"/>
      <c r="D1" s="14"/>
      <c r="E1" s="14"/>
      <c r="F1" s="14"/>
      <c r="G1" s="14"/>
      <c r="H1" s="14"/>
    </row>
    <row r="3" spans="1:8" x14ac:dyDescent="0.25">
      <c r="A3" s="3" t="s">
        <v>78</v>
      </c>
      <c r="B3" s="3" t="s">
        <v>87</v>
      </c>
      <c r="C3" s="3" t="s">
        <v>88</v>
      </c>
      <c r="D3" s="3" t="s">
        <v>79</v>
      </c>
      <c r="E3" s="3" t="s">
        <v>89</v>
      </c>
      <c r="F3" s="3" t="s">
        <v>81</v>
      </c>
      <c r="G3" s="3" t="s">
        <v>90</v>
      </c>
      <c r="H3" s="3" t="s">
        <v>86</v>
      </c>
    </row>
    <row r="4" spans="1:8" x14ac:dyDescent="0.25">
      <c r="A4" s="5">
        <v>2010</v>
      </c>
      <c r="B4" s="8">
        <f>'02_Raw Data'!J2</f>
        <v>12022.46</v>
      </c>
      <c r="C4" s="6">
        <f>'02_Raw Data'!K2</f>
        <v>0</v>
      </c>
      <c r="D4" s="6">
        <f>'02_Raw Data'!B2</f>
        <v>1.5</v>
      </c>
      <c r="E4" s="6">
        <f>'02_Raw Data'!C2</f>
        <v>12.9389</v>
      </c>
      <c r="F4" s="6">
        <f>'02_Raw Data'!D2</f>
        <v>0</v>
      </c>
      <c r="G4" s="6">
        <f>'03_Calculations'!F2</f>
        <v>0</v>
      </c>
      <c r="H4" s="6">
        <f>'02_Raw Data'!I2</f>
        <v>-0.7</v>
      </c>
    </row>
    <row r="5" spans="1:8" x14ac:dyDescent="0.25">
      <c r="A5" s="5">
        <v>2011</v>
      </c>
      <c r="B5" s="8">
        <f>'02_Raw Data'!J3</f>
        <v>11347.66</v>
      </c>
      <c r="C5" s="6">
        <f>'02_Raw Data'!K3</f>
        <v>-5.6128279902781912</v>
      </c>
      <c r="D5" s="6">
        <f>'02_Raw Data'!B3</f>
        <v>2.68</v>
      </c>
      <c r="E5" s="6">
        <f>'02_Raw Data'!C3</f>
        <v>11.9161</v>
      </c>
      <c r="F5" s="6">
        <f>'02_Raw Data'!D3</f>
        <v>0</v>
      </c>
      <c r="G5" s="6">
        <f>'03_Calculations'!F3</f>
        <v>1.3499236999647835</v>
      </c>
      <c r="H5" s="6">
        <f>'02_Raw Data'!I3</f>
        <v>-1</v>
      </c>
    </row>
    <row r="6" spans="1:8" x14ac:dyDescent="0.25">
      <c r="A6" s="5">
        <v>2012</v>
      </c>
      <c r="B6" s="8">
        <f>'02_Raw Data'!J4</f>
        <v>16905.330000000002</v>
      </c>
      <c r="C6" s="6">
        <f>'02_Raw Data'!K4</f>
        <v>48.976352833976357</v>
      </c>
      <c r="D6" s="6">
        <f>'02_Raw Data'!B4</f>
        <v>3.03</v>
      </c>
      <c r="E6" s="6">
        <f>'02_Raw Data'!C4</f>
        <v>9.6823999999999995</v>
      </c>
      <c r="F6" s="6">
        <f>'02_Raw Data'!D4</f>
        <v>0</v>
      </c>
      <c r="G6" s="6">
        <f>'03_Calculations'!F4</f>
        <v>8.1769747509844883</v>
      </c>
      <c r="H6" s="6">
        <f>'02_Raw Data'!I4</f>
        <v>-0.9</v>
      </c>
    </row>
    <row r="7" spans="1:8" x14ac:dyDescent="0.25">
      <c r="A7" s="5">
        <v>2013</v>
      </c>
      <c r="B7" s="8">
        <f>'02_Raw Data'!J5</f>
        <v>25261.14</v>
      </c>
      <c r="C7" s="6">
        <f>'02_Raw Data'!K5</f>
        <v>49.427074183112651</v>
      </c>
      <c r="D7" s="6">
        <f>'02_Raw Data'!B5</f>
        <v>4.37</v>
      </c>
      <c r="E7" s="6">
        <f>'02_Raw Data'!C5</f>
        <v>7.6921999999999997</v>
      </c>
      <c r="F7" s="6">
        <f>'02_Raw Data'!D5</f>
        <v>0</v>
      </c>
      <c r="G7" s="6">
        <f>'03_Calculations'!F5</f>
        <v>8.8115631691648701</v>
      </c>
      <c r="H7" s="6">
        <f>'02_Raw Data'!I5</f>
        <v>-1.7</v>
      </c>
    </row>
    <row r="8" spans="1:8" x14ac:dyDescent="0.25">
      <c r="A8" s="5">
        <v>2014</v>
      </c>
      <c r="B8" s="8">
        <f>'02_Raw Data'!J6</f>
        <v>32131.279999999999</v>
      </c>
      <c r="C8" s="6">
        <f>'02_Raw Data'!K6</f>
        <v>27.196476485225919</v>
      </c>
      <c r="D8" s="6">
        <f>'02_Raw Data'!B6</f>
        <v>4.12</v>
      </c>
      <c r="E8" s="6">
        <f>'02_Raw Data'!C6</f>
        <v>7.1894</v>
      </c>
      <c r="F8" s="6">
        <f>'02_Raw Data'!D6</f>
        <v>6.5</v>
      </c>
      <c r="G8" s="6">
        <f>'03_Calculations'!F6</f>
        <v>-0.52149955721735308</v>
      </c>
      <c r="H8" s="6">
        <f>'02_Raw Data'!I6</f>
        <v>-1.3</v>
      </c>
    </row>
    <row r="9" spans="1:8" x14ac:dyDescent="0.25">
      <c r="A9" s="5">
        <v>2015</v>
      </c>
      <c r="B9" s="8">
        <f>'02_Raw Data'!J7</f>
        <v>32816.31</v>
      </c>
      <c r="C9" s="6">
        <f>'02_Raw Data'!K7</f>
        <v>2.131972333501797</v>
      </c>
      <c r="D9" s="6">
        <f>'02_Raw Data'!B7</f>
        <v>4.22</v>
      </c>
      <c r="E9" s="6">
        <f>'02_Raw Data'!C7</f>
        <v>2.5293000000000001</v>
      </c>
      <c r="F9" s="6">
        <f>'02_Raw Data'!D7</f>
        <v>5.75</v>
      </c>
      <c r="G9" s="6">
        <f>'03_Calculations'!F7</f>
        <v>1.6518298714144342</v>
      </c>
      <c r="H9" s="6">
        <f>'02_Raw Data'!I7</f>
        <v>-0.9</v>
      </c>
    </row>
    <row r="10" spans="1:8" x14ac:dyDescent="0.25">
      <c r="A10" s="5">
        <v>2016</v>
      </c>
      <c r="B10" s="8">
        <f>'02_Raw Data'!J8</f>
        <v>47806.97</v>
      </c>
      <c r="C10" s="6">
        <f>'02_Raw Data'!K8</f>
        <v>45.680516791802631</v>
      </c>
      <c r="D10" s="6">
        <f>'02_Raw Data'!B8</f>
        <v>6.57</v>
      </c>
      <c r="E10" s="6">
        <f>'02_Raw Data'!C8</f>
        <v>3.7650999999999999</v>
      </c>
      <c r="F10" s="6">
        <f>'02_Raw Data'!D8</f>
        <v>6</v>
      </c>
      <c r="G10" s="6">
        <f>'03_Calculations'!F8</f>
        <v>1.9460932178651413</v>
      </c>
      <c r="H10" s="6">
        <f>'02_Raw Data'!I8</f>
        <v>-2.2999999999999998</v>
      </c>
    </row>
    <row r="11" spans="1:8" x14ac:dyDescent="0.25">
      <c r="A11" s="5">
        <v>2017</v>
      </c>
      <c r="B11" s="8">
        <f>'02_Raw Data'!J9</f>
        <v>40471.480000000003</v>
      </c>
      <c r="C11" s="6">
        <f>'02_Raw Data'!K9</f>
        <v>-15.34397599345869</v>
      </c>
      <c r="D11" s="6">
        <f>'02_Raw Data'!B9</f>
        <v>4.43</v>
      </c>
      <c r="E11" s="6">
        <f>'02_Raw Data'!C9</f>
        <v>4.0853999999999999</v>
      </c>
      <c r="F11" s="6">
        <f>'02_Raw Data'!D9</f>
        <v>10</v>
      </c>
      <c r="G11" s="6">
        <f>'03_Calculations'!F9</f>
        <v>0.65858547294073144</v>
      </c>
      <c r="H11" s="6">
        <f>'02_Raw Data'!I9</f>
        <v>-4.8</v>
      </c>
    </row>
    <row r="12" spans="1:8" x14ac:dyDescent="0.25">
      <c r="A12" s="5">
        <v>2018</v>
      </c>
      <c r="B12" s="8">
        <f>'02_Raw Data'!J10</f>
        <v>37066.67</v>
      </c>
      <c r="C12" s="6">
        <f>'02_Raw Data'!K10</f>
        <v>-8.4128625886673909</v>
      </c>
      <c r="D12" s="6">
        <f>'02_Raw Data'!B10</f>
        <v>6.15</v>
      </c>
      <c r="E12" s="6">
        <f>'02_Raw Data'!C10</f>
        <v>5.0781000000000001</v>
      </c>
      <c r="F12" s="6">
        <f>'02_Raw Data'!D10</f>
        <v>13.25</v>
      </c>
      <c r="G12" s="6">
        <f>'03_Calculations'!F10</f>
        <v>15.512990707377195</v>
      </c>
      <c r="H12" s="6">
        <f>'02_Raw Data'!I10</f>
        <v>-5.3</v>
      </c>
    </row>
    <row r="13" spans="1:8" x14ac:dyDescent="0.25">
      <c r="A13" s="5">
        <v>2019</v>
      </c>
      <c r="B13" s="8">
        <f>'02_Raw Data'!J11</f>
        <v>40735.08</v>
      </c>
      <c r="C13" s="6">
        <f>'02_Raw Data'!K11</f>
        <v>9.8967886783463577</v>
      </c>
      <c r="D13" s="6">
        <f>'02_Raw Data'!B11</f>
        <v>2.5</v>
      </c>
      <c r="E13" s="6">
        <f>'02_Raw Data'!C11</f>
        <v>10.577999999999999</v>
      </c>
      <c r="F13" s="6">
        <f>'02_Raw Data'!D11</f>
        <v>7</v>
      </c>
      <c r="G13" s="6">
        <f>'03_Calculations'!F11</f>
        <v>23.165325890658337</v>
      </c>
      <c r="H13" s="6">
        <f>'02_Raw Data'!I11</f>
        <v>-2.7</v>
      </c>
    </row>
    <row r="14" spans="1:8" x14ac:dyDescent="0.25">
      <c r="A14" s="5">
        <v>2020</v>
      </c>
      <c r="B14" s="8">
        <f>'02_Raw Data'!J12</f>
        <v>43755.38</v>
      </c>
      <c r="C14" s="6">
        <f>'02_Raw Data'!K12</f>
        <v>7.4144938465813706</v>
      </c>
      <c r="D14" s="6">
        <f>'02_Raw Data'!B12</f>
        <v>-1.27</v>
      </c>
      <c r="E14" s="6">
        <f>'02_Raw Data'!C12</f>
        <v>9.7401</v>
      </c>
      <c r="F14" s="6">
        <f>'02_Raw Data'!D12</f>
        <v>7</v>
      </c>
      <c r="G14" s="6">
        <f>'03_Calculations'!F12</f>
        <v>7.864569448147174</v>
      </c>
      <c r="H14" s="6">
        <f>'02_Raw Data'!I12</f>
        <v>-0.2</v>
      </c>
    </row>
    <row r="15" spans="1:8" x14ac:dyDescent="0.25">
      <c r="A15" s="5">
        <v>2021</v>
      </c>
      <c r="B15" s="8">
        <f>'02_Raw Data'!J13</f>
        <v>44596.07</v>
      </c>
      <c r="C15" s="6">
        <f>'02_Raw Data'!K13</f>
        <v>1.9213408728252499</v>
      </c>
      <c r="D15" s="6">
        <f>'02_Raw Data'!B13</f>
        <v>6.51</v>
      </c>
      <c r="E15" s="6">
        <f>'02_Raw Data'!C13</f>
        <v>9.4963999999999995</v>
      </c>
      <c r="F15" s="6">
        <f>'02_Raw Data'!D13</f>
        <v>15.75</v>
      </c>
      <c r="G15" s="6">
        <f>'03_Calculations'!F13</f>
        <v>0.66114681166584699</v>
      </c>
      <c r="H15" s="6">
        <f>'02_Raw Data'!I13</f>
        <v>-3.5</v>
      </c>
    </row>
    <row r="16" spans="1:8" x14ac:dyDescent="0.25">
      <c r="A16" s="5">
        <v>2022</v>
      </c>
      <c r="B16" s="8">
        <f>'02_Raw Data'!J14</f>
        <v>40420.449999999997</v>
      </c>
      <c r="C16" s="6">
        <f>'02_Raw Data'!K14</f>
        <v>-9.3632017350407821</v>
      </c>
      <c r="D16" s="6">
        <f>'02_Raw Data'!B14</f>
        <v>4.78</v>
      </c>
      <c r="E16" s="6">
        <f>'02_Raw Data'!C14</f>
        <v>19.873899999999999</v>
      </c>
      <c r="F16" s="6">
        <f>'02_Raw Data'!D14</f>
        <v>22</v>
      </c>
      <c r="G16" s="6">
        <f>'03_Calculations'!F14</f>
        <v>25.756552697808608</v>
      </c>
      <c r="H16" s="6">
        <f>'02_Raw Data'!I14</f>
        <v>-3.3</v>
      </c>
    </row>
    <row r="17" spans="1:8" x14ac:dyDescent="0.25">
      <c r="A17" s="5">
        <v>2023</v>
      </c>
      <c r="B17" s="8">
        <f>'02_Raw Data'!J15</f>
        <v>62451.040000000001</v>
      </c>
      <c r="C17" s="6">
        <f>'02_Raw Data'!K15</f>
        <v>54.50357430459087</v>
      </c>
      <c r="D17" s="6">
        <f>'02_Raw Data'!B15</f>
        <v>-0.41</v>
      </c>
      <c r="E17" s="6">
        <f>'02_Raw Data'!C15</f>
        <v>30.7681</v>
      </c>
      <c r="F17" s="6">
        <f>'02_Raw Data'!D15</f>
        <v>13</v>
      </c>
      <c r="G17" s="6">
        <f>'03_Calculations'!F15</f>
        <v>36.847757114267601</v>
      </c>
      <c r="H17" s="6">
        <f>'02_Raw Data'!I15</f>
        <v>-0.3</v>
      </c>
    </row>
    <row r="18" spans="1:8" x14ac:dyDescent="0.25">
      <c r="A18" s="5">
        <v>2024</v>
      </c>
      <c r="B18" s="8">
        <f>'02_Raw Data'!J16</f>
        <v>115126.9</v>
      </c>
      <c r="C18" s="6">
        <f>'02_Raw Data'!K16</f>
        <v>84.347450418760019</v>
      </c>
      <c r="D18" s="6">
        <f>'02_Raw Data'!B16</f>
        <v>3.05</v>
      </c>
      <c r="E18" s="6">
        <f>'02_Raw Data'!C16</f>
        <v>12.6325</v>
      </c>
      <c r="F18" s="6">
        <f>'02_Raw Data'!D16</f>
        <v>11</v>
      </c>
      <c r="G18" s="6">
        <f>'03_Calculations'!F16</f>
        <v>-0.63489798830076438</v>
      </c>
      <c r="H18" s="6">
        <f>'02_Raw Data'!I16</f>
        <v>0.1</v>
      </c>
    </row>
    <row r="19" spans="1:8" x14ac:dyDescent="0.25">
      <c r="A19" s="5">
        <v>2025</v>
      </c>
      <c r="B19" s="8">
        <f>'02_Raw Data'!J17</f>
        <v>174054.32</v>
      </c>
      <c r="C19" s="6">
        <f>'02_Raw Data'!K17</f>
        <v>51.184753519811622</v>
      </c>
      <c r="D19" s="6">
        <f>'02_Raw Data'!B17</f>
        <v>3.7</v>
      </c>
      <c r="E19" s="6">
        <f>'02_Raw Data'!C17</f>
        <v>3.5455999999999999</v>
      </c>
      <c r="F19" s="6">
        <f>'02_Raw Data'!D17</f>
        <v>11</v>
      </c>
      <c r="G19" s="6">
        <f>'03_Calculations'!F17</f>
        <v>0.918946083710237</v>
      </c>
      <c r="H19" s="6">
        <f>'02_Raw Data'!I17</f>
        <v>-0.1</v>
      </c>
    </row>
    <row r="22" spans="1:8" ht="15.75" x14ac:dyDescent="0.25">
      <c r="A22" s="1" t="s">
        <v>129</v>
      </c>
    </row>
    <row r="23" spans="1:8" x14ac:dyDescent="0.25">
      <c r="A23" s="15" t="s">
        <v>130</v>
      </c>
      <c r="B23" s="14"/>
      <c r="C23" s="14"/>
      <c r="D23" s="14"/>
      <c r="E23" s="14"/>
      <c r="F23" s="14"/>
      <c r="G23" s="14"/>
      <c r="H23" s="14"/>
    </row>
    <row r="24" spans="1:8" x14ac:dyDescent="0.25">
      <c r="A24" s="15" t="s">
        <v>131</v>
      </c>
      <c r="B24" s="14"/>
      <c r="C24" s="14"/>
      <c r="D24" s="14"/>
      <c r="E24" s="14"/>
      <c r="F24" s="14"/>
      <c r="G24" s="14"/>
      <c r="H24" s="14"/>
    </row>
    <row r="25" spans="1:8" x14ac:dyDescent="0.25">
      <c r="A25" s="15" t="s">
        <v>132</v>
      </c>
      <c r="B25" s="14"/>
      <c r="C25" s="14"/>
      <c r="D25" s="14"/>
      <c r="E25" s="14"/>
      <c r="F25" s="14"/>
      <c r="G25" s="14"/>
      <c r="H25" s="14"/>
    </row>
    <row r="26" spans="1:8" x14ac:dyDescent="0.25">
      <c r="A26" s="15" t="s">
        <v>133</v>
      </c>
      <c r="B26" s="14"/>
      <c r="C26" s="14"/>
      <c r="D26" s="14"/>
      <c r="E26" s="14"/>
      <c r="F26" s="14"/>
      <c r="G26" s="14"/>
      <c r="H26" s="14"/>
    </row>
  </sheetData>
  <mergeCells count="5">
    <mergeCell ref="A26:H26"/>
    <mergeCell ref="A25:H25"/>
    <mergeCell ref="A24:H24"/>
    <mergeCell ref="A1:H1"/>
    <mergeCell ref="A23:H23"/>
  </mergeCells>
  <pageMargins left="0.75" right="0.75" top="1" bottom="1" header="0.5" footer="0.5"/>
  <pageSetup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00_Read Me</vt:lpstr>
      <vt:lpstr>01_Sources</vt:lpstr>
      <vt:lpstr>02_Raw Data</vt:lpstr>
      <vt:lpstr>03_Calculations</vt:lpstr>
      <vt:lpstr>04_Correlation</vt:lpstr>
      <vt:lpstr>05_Economic Analysis</vt:lpstr>
      <vt:lpstr>06_Market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Village computer mpk</cp:lastModifiedBy>
  <dcterms:created xsi:type="dcterms:W3CDTF">2026-09-23T13:47:46Z</dcterms:created>
  <dcterms:modified xsi:type="dcterms:W3CDTF">2026-09-24T01:21:48Z</dcterms:modified>
</cp:coreProperties>
</file>